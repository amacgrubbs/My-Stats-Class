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workbookPr codeName="ThisWorkbook" defaultThemeVersion="124226"/>
  <mc:AlternateContent xmlns:mc="http://schemas.openxmlformats.org/markup-compatibility/2006">
    <mc:Choice Requires="x15">
      <x15ac:absPath xmlns:x15ac="http://schemas.microsoft.com/office/spreadsheetml/2010/11/ac" url="C:\Users\Zach\Google Drive\University of Texas\MSBA Fall Classes\Text Analysis\Homework_3\"/>
    </mc:Choice>
  </mc:AlternateContent>
  <bookViews>
    <workbookView xWindow="0" yWindow="0" windowWidth="12012" windowHeight="9852"/>
  </bookViews>
  <sheets>
    <sheet name="Edges" sheetId="1" r:id="rId1"/>
    <sheet name="Sheet1" sheetId="8" r:id="rId2"/>
    <sheet name="Vertices" sheetId="3" r:id="rId3"/>
    <sheet name="Do Not Delete" sheetId="4" state="hidden" r:id="rId4"/>
    <sheet name="Groups" sheetId="5" r:id="rId5"/>
    <sheet name="Group Vertices" sheetId="6" r:id="rId6"/>
    <sheet name="Overall Metrics" sheetId="7" r:id="rId7"/>
    <sheet name="Misc" sheetId="2" state="hidden" r:id="rId8"/>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52511"/>
</workbook>
</file>

<file path=xl/calcChain.xml><?xml version="1.0" encoding="utf-8"?>
<calcChain xmlns="http://schemas.openxmlformats.org/spreadsheetml/2006/main">
  <c r="AB3" i="3" l="1"/>
  <c r="AB4" i="3"/>
  <c r="AB5" i="3"/>
  <c r="AB6" i="3"/>
  <c r="AB7" i="3"/>
  <c r="AB8" i="3"/>
  <c r="AB9" i="3"/>
  <c r="AB10" i="3"/>
  <c r="AB11" i="3"/>
  <c r="AB12" i="3"/>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B128" i="7" l="1"/>
  <c r="B127" i="7"/>
  <c r="B130" i="7"/>
  <c r="B129" i="7"/>
  <c r="P45" i="7"/>
  <c r="Q45" i="7" s="1"/>
  <c r="P2" i="7"/>
  <c r="B142" i="7"/>
  <c r="B141" i="7"/>
  <c r="B144" i="7"/>
  <c r="B143" i="7"/>
  <c r="R45" i="7"/>
  <c r="S45" i="7" s="1"/>
  <c r="R2" i="7"/>
  <c r="B114" i="7"/>
  <c r="B113" i="7"/>
  <c r="B116" i="7"/>
  <c r="B115" i="7"/>
  <c r="N45" i="7"/>
  <c r="O45" i="7" s="1"/>
  <c r="N2" i="7"/>
  <c r="B100" i="7"/>
  <c r="B99" i="7"/>
  <c r="B86" i="7"/>
  <c r="B85" i="7"/>
  <c r="B102" i="7"/>
  <c r="B101" i="7"/>
  <c r="L45" i="7"/>
  <c r="M45" i="7" s="1"/>
  <c r="L2" i="7"/>
  <c r="B72" i="7"/>
  <c r="B71" i="7"/>
  <c r="B58" i="7"/>
  <c r="B57" i="7"/>
  <c r="B88" i="7"/>
  <c r="B87" i="7"/>
  <c r="J45" i="7"/>
  <c r="K45" i="7" s="1"/>
  <c r="J2" i="7"/>
  <c r="B74" i="7"/>
  <c r="B73" i="7"/>
  <c r="H45" i="7"/>
  <c r="I45" i="7" s="1"/>
  <c r="H2" i="7"/>
  <c r="B60" i="7"/>
  <c r="B59" i="7"/>
  <c r="F45" i="7"/>
  <c r="G45" i="7" s="1"/>
  <c r="F2" i="7"/>
  <c r="B44" i="7"/>
  <c r="B43" i="7"/>
  <c r="B46" i="7"/>
  <c r="B45" i="7"/>
  <c r="T2" i="7"/>
  <c r="T45"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shape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shape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shape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shapeId="0">
      <text>
        <r>
          <rPr>
            <b/>
            <sz val="8"/>
            <color indexed="81"/>
            <rFont val="Tahoma"/>
            <family val="2"/>
          </rPr>
          <t xml:space="preserve">Edge Width
</t>
        </r>
        <r>
          <rPr>
            <sz val="8"/>
            <color indexed="81"/>
            <rFont val="Tahoma"/>
            <family val="2"/>
          </rPr>
          <t xml:space="preserve">
Enter an optional edge width between 1 and 10.</t>
        </r>
      </text>
    </comment>
    <comment ref="E2" authorId="1" shapeId="0">
      <text>
        <r>
          <rPr>
            <b/>
            <sz val="8"/>
            <color indexed="81"/>
            <rFont val="Tahoma"/>
            <family val="2"/>
          </rPr>
          <t>Edge Style</t>
        </r>
        <r>
          <rPr>
            <b/>
            <sz val="9"/>
            <color indexed="81"/>
            <rFont val="Tahoma"/>
            <family val="2"/>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shape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shape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shapeId="0">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shapeId="0">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shapeId="0">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L2" authorId="0" shape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shape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shape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shape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shape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shapeId="0">
      <text>
        <r>
          <rPr>
            <b/>
            <sz val="8"/>
            <color indexed="81"/>
            <rFont val="Tahoma"/>
            <family val="2"/>
          </rPr>
          <t xml:space="preserve">Vertex Size
</t>
        </r>
        <r>
          <rPr>
            <sz val="8"/>
            <color indexed="81"/>
            <rFont val="Tahoma"/>
            <family val="2"/>
          </rPr>
          <t xml:space="preserve">
Enter an optional vertex size between 1 and 1,000.</t>
        </r>
      </text>
    </comment>
    <comment ref="E2" authorId="0" shape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shape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shape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shape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shape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shapeId="0">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shape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shape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shape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shape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shape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shape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shape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shape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shape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shape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shape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shape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shapeId="0">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shape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shapeId="0">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shape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shape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shape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shape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shapeId="0">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shapeId="0">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shapeId="0">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family val="2"/>
          </rPr>
          <t xml:space="preserve">
</t>
        </r>
      </text>
    </comment>
    <comment ref="G2" authorId="1" shapeId="0">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shapeId="0">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shapeId="0">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L2" authorId="1" shapeId="0">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shapeId="0">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shapeId="0">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shapeId="0">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shapeId="0">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shapeId="0">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shapeId="0">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shapeId="0">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shapeId="0">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shapeId="0">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shapeId="0">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shapeId="0">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shapeId="0">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shape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shape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shapeId="0">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family val="2"/>
          </rPr>
          <t xml:space="preserve">
</t>
        </r>
        <r>
          <rPr>
            <sz val="9"/>
            <color indexed="81"/>
            <rFont val="Tahoma"/>
            <family val="2"/>
          </rPr>
          <t xml:space="preserve">
</t>
        </r>
      </text>
    </comment>
  </commentList>
</comments>
</file>

<file path=xl/comments5.xml><?xml version="1.0" encoding="utf-8"?>
<comments xmlns="http://schemas.openxmlformats.org/spreadsheetml/2006/main">
  <authors>
    <author>TonyAdmin</author>
  </authors>
  <commentList>
    <comment ref="A1" authorId="0" shape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<sst xmlns="http://schemas.openxmlformats.org/spreadsheetml/2006/main" count="520" uniqueCount="190">
  <si>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</si>
  <si>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</si>
  <si>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</si>
  <si>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</si>
  <si>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</si>
  <si>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</si>
  <si>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</si>
  <si>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</si>
  <si>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</si>
  <si>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</si>
  <si>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</si>
  <si>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</si>
  <si>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</si>
  <si>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</si>
  <si>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</si>
  <si>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</si>
  <si>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</si>
  <si>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</si>
  <si>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</si>
  <si>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</si>
  <si>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</si>
  <si>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</si>
  <si>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</si>
  <si>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</si>
  <si>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</si>
  <si>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</si>
  <si>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</si>
  <si>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</si>
  <si>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</si>
  <si>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</si>
  <si>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</si>
  <si>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</si>
  <si>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</si>
  <si>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</si>
  <si>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</si>
  <si>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</si>
  <si>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</si>
  <si>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</si>
  <si>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</si>
  <si>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</si>
  <si>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</si>
  <si>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</si>
  <si>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</si>
  <si>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</si>
  <si>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</si>
  <si>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</si>
  <si>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</si>
  <si>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</si>
  <si>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</si>
  <si>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</si>
  <si>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</si>
  <si>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</si>
  <si>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</si>
  <si>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</si>
  <si>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</si>
  <si>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</si>
  <si>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</si>
  <si>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</si>
  <si>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</si>
  <si>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</si>
  <si>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</si>
  <si>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</si>
  <si>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</si>
  <si>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</si>
  <si>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</si>
  <si>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</si>
  <si>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</si>
  <si>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</si>
  <si>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</si>
  <si>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</si>
  <si>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</si>
  <si>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</si>
  <si>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</si>
  <si>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</si>
  <si>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</si>
  <si>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</si>
  <si>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</si>
  <si>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</si>
  <si>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</si>
  <si>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</si>
  <si>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</si>
  <si>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</si>
  <si>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</si>
  <si>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</si>
  <si>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</si>
  <si>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</si>
  <si>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</si>
  <si>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</si>
  <si>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</si>
  <si>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</si>
  <si>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</si>
  <si>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</si>
  <si>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</si>
  <si>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</si>
  <si>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</si>
  <si>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</si>
  <si>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</si>
  <si>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</si>
  <si>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</si>
  <si>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</si>
  <si>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</si>
  <si>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</si>
  <si>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</si>
  <si>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</si>
  <si>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</si>
  <si>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</si>
  <si>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</si>
  <si>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</si>
  <si>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</si>
  <si>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</si>
  <si>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</si>
  <si>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</si>
  <si>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</si>
  <si>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</si>
  <si>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</si>
  <si>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</si>
  <si>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</si>
  <si>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</si>
  <si>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</si>
  <si>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</si>
  <si>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</si>
  <si>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</si>
  <si>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</si>
  <si>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</si>
  <si>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</si>
  <si>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</si>
  <si>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</si>
  <si>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</si>
  <si>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</si>
  <si>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</si>
  <si>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</si>
  <si>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</si>
  <si>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</si>
  <si>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</si>
  <si>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</si>
  <si>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</si>
  <si>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</si>
  <si>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</si>
  <si>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</si>
  <si>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</si>
  <si>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</si>
  <si>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</si>
  <si>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</si>
  <si>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</si>
  <si>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</si>
  <si>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</si>
  <si>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</si>
  <si>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</si>
  <si>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</si>
  <si>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</si>
  <si>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</si>
  <si>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</si>
  <si>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</si>
  <si>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</si>
  <si>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</si>
  <si>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</si>
  <si>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</si>
  <si>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</si>
  <si>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</si>
  <si>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</si>
  <si>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</si>
  <si>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</si>
  <si>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</si>
  <si>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</si>
  <si>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</si>
  <si>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</si>
  <si>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</si>
  <si>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</si>
  <si>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</si>
  <si>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</si>
  <si>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</si>
  <si>
    <t>Workbook Settings 1</t>
  </si>
  <si>
    <t>Workbook Settings Cell Count</t>
  </si>
  <si>
    <t>ES</t>
  </si>
  <si>
    <t>LS</t>
  </si>
  <si>
    <t>RX</t>
  </si>
  <si>
    <t>A8</t>
  </si>
  <si>
    <t>A6</t>
  </si>
  <si>
    <t>3series</t>
  </si>
  <si>
    <t>5series</t>
  </si>
  <si>
    <t>7series</t>
  </si>
  <si>
    <t>XJ</t>
  </si>
  <si>
    <t>Sclass</t>
  </si>
  <si>
    <t>Graph History</t>
  </si>
  <si>
    <t>Directed</t>
  </si>
  <si>
    <t>LayoutAlgorithm░The graph was laid out using the Fruchterman-Reingold layout algorithm.▓GraphDirectedness░The graph is directed.</t>
  </si>
  <si>
    <t>Marked?</t>
  </si>
  <si>
    <t xml:space="preserve"> </t>
  </si>
  <si>
    <t>Vertices[Y]</t>
  </si>
  <si>
    <t>&lt;?xml version="1.0" encoding="utf-8"?&gt;_x000D_
&lt;configuration&gt;_x000D_
  &lt;configSections&gt;_x000D_
    &lt;sectionGroup name="userSettings" type="System.Configuration.UserSettingsGroup, System, Version=2.0.0.0, Culture=neutral, PublicKeyToken=b77a5c561934e089"&gt;_x000D_
      &lt;section name="GraphZoomAndScaleUserSettings" type="System.Configuration.ClientSettingsSection, System, Version=2.0.0.0, Culture=neutral, PublicKeyToken=b77a5c561934e089" allowExeDefinition="MachineToLocalUser" requirePermission="false" /&gt;_x000D_
      &lt;section name="DynamicFiltersUserSettings" type="System.Configuration.ClientSettingsSection, System, Version=2.0.0.0, Culture=neutral, PublicKeyToken=b77a5c561934e089" allowExeDefinition="MachineToLocalUser" requirePermission="false" /&gt;_x000D_
      &lt;section name="LayoutUserSettings" type="System.Configuration.ClientSettingsSection, System, Version=2.0.0.0, Culture=neutral, PublicKeyToken=b77a5c561934e089" allowExeDefinition="MachineToLocalUser" requirePermission="false" /&gt;_x000D_
      &lt;section name="GeneralUserSettings4" type="System.Configuration.ClientSettingsSection, System, Version=2.0.0.0, Culture=neutral, PublicKeyToken=b77a5c561934e089" allowExeDefinition="MachineToLocalUser" requirePermission="false" /&gt;_x000D_
    &lt;/sectionGroup&gt;_x000D_
  &lt;/configSections&gt;_x000D_
  &lt;userSettings&gt;_x000D_
    &lt;GraphZoomAndScaleUserSettings&gt;_x000D_
      &lt;setting name="GraphScale" serializeAs="String"&gt;_x000D_
        &lt;value&gt;1&lt;/value&gt;_x000D_
      &lt;/setting&gt;_x000D_
    &lt;/GraphZoomAndScaleUserSettings&gt;_x000D_
    &lt;DynamicFiltersUserSettings&gt;_x000D_
      &lt;setting name="FilterNonNumericCells" serializeAs="String"&gt;_x000D_
        &lt;value&gt;False&lt;/value&gt;_x000D_
      &lt;/setting&gt;_x000D_
      &lt;setting name="FilteredAlpha" serializeAs="String"&gt;_x000D_
        &lt;value&gt;0&lt;/value&gt;_x000D_
      &lt;/setting&gt;_x000D_
    &lt;/DynamicFiltersUserSettings&gt;_x000D_
    &lt;LayoutUserSettings&gt;_x000D_
      &lt;setting name="Layout" serializeAs="String"&gt;_x000D_
        &lt;value&gt;FruchtermanReingold&lt;/value&gt;_x000D_
      &lt;/setting&gt;_x000D_
    &lt;/LayoutUserSettings&gt;_x000D_
    &lt;GeneralUserSettings4&gt;_x000D_
      &lt;setting name="NewWorkbookGraphDirectedness" serializeAs="String"&gt;_x000D_
        &lt;value&gt;Directed&lt;/value&gt;_x000D_
      &lt;/setting&gt;_x000D_
      &lt;setting name="ShowGraphLegend" serializeAs="String"&gt;_x000D_
        &lt;value&gt;False&lt;/value&gt;_x000D_
      &lt;/setting&gt;_x000D_
      &lt;setting name="ReadVertexLabels" serializeAs="String"&gt;_x000D_
        &lt;value&gt;True&lt;/value&gt;_x000D_
      &lt;/setting&gt;_x000D_
      &lt;setting name="ReadEdgeLabels" serializeAs="String"&gt;_x000D_
        &lt;value&gt;True&lt;/value&gt;_x000D_
      &lt;/setting&gt;_x000D_
      &lt;setting name="ReadGroupLabels" serializeAs="String"&gt;_x000D_
        &lt;value&gt;True&lt;/value&gt;_x000D_
      &lt;/setting&gt;_x000D_
      &lt;setting name="ShowGraphAxes" serializeAs="String"&gt;_x000D_
        &lt;value&gt;False&lt;/value&gt;_x000D_
      &lt;/setting&gt;_x000D_
    &lt;/GeneralUserSettings4&gt;_x000D_
  &lt;/userSettings&gt;_x000D_
&lt;/configuration&gt;</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</si>
</sst>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11"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2">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112">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0"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0"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xf numFmtId="1" fontId="0" fillId="5" borderId="1" xfId="4" applyNumberFormat="1" applyFont="1"/>
    <xf numFmtId="0" fontId="0" fillId="2" borderId="1" xfId="1" applyNumberFormat="1" applyFont="1"/>
    <xf numFmtId="49" fontId="0" fillId="0" borderId="0" xfId="3" applyNumberFormat="1" applyFont="1" applyBorder="1" applyAlignment="1">
      <alignment wrapText="1"/>
    </xf>
    <xf numFmtId="0" fontId="0" fillId="5" borderId="11" xfId="4" applyNumberFormat="1" applyFont="1" applyBorder="1" applyAlignment="1">
      <alignment wrapText="1"/>
    </xf>
    <xf numFmtId="164" fontId="0" fillId="5" borderId="11" xfId="4" applyNumberFormat="1" applyFont="1" applyBorder="1" applyAlignment="1">
      <alignment wrapText="1"/>
    </xf>
    <xf numFmtId="1" fontId="0" fillId="5" borderId="11" xfId="4" applyNumberFormat="1" applyFont="1" applyBorder="1" applyAlignment="1">
      <alignment wrapText="1"/>
    </xf>
    <xf numFmtId="0" fontId="6" fillId="6" borderId="11" xfId="6" applyNumberFormat="1" applyBorder="1" applyAlignment="1">
      <alignment wrapText="1"/>
    </xf>
    <xf numFmtId="0" fontId="5" fillId="4" borderId="11" xfId="5" applyNumberFormat="1" applyBorder="1" applyAlignment="1">
      <alignment wrapText="1"/>
    </xf>
    <xf numFmtId="0" fontId="0" fillId="2" borderId="11" xfId="1" applyNumberFormat="1" applyFont="1" applyBorder="1" applyAlignment="1">
      <alignment wrapText="1"/>
    </xf>
    <xf numFmtId="0" fontId="0" fillId="0" borderId="0" xfId="2" applyNumberFormat="1" applyFont="1" applyBorder="1" applyAlignment="1">
      <alignment wrapText="1"/>
    </xf>
    <xf numFmtId="164" fontId="0" fillId="5" borderId="1" xfId="4" applyNumberFormat="1" applyFont="1"/>
    <xf numFmtId="164" fontId="0" fillId="3" borderId="1" xfId="7" applyNumberFormat="1" applyFont="1"/>
    <xf numFmtId="165" fontId="0" fillId="3" borderId="1" xfId="7" applyNumberFormat="1" applyFont="1"/>
    <xf numFmtId="166" fontId="0" fillId="3" borderId="1" xfId="7" applyNumberFormat="1" applyFont="1"/>
    <xf numFmtId="1" fontId="0" fillId="4" borderId="1" xfId="5" applyNumberFormat="1" applyFont="1" applyAlignment="1"/>
    <xf numFmtId="167" fontId="0" fillId="4" borderId="1" xfId="5" applyNumberFormat="1" applyFont="1" applyAlignment="1"/>
    <xf numFmtId="0" fontId="0" fillId="0" borderId="0" xfId="2" applyNumberFormat="1" applyFont="1"/>
    <xf numFmtId="49" fontId="0" fillId="0" borderId="0" xfId="3" applyNumberFormat="1" applyFont="1" applyBorder="1"/>
    <xf numFmtId="0" fontId="0" fillId="5" borderId="11" xfId="4" applyNumberFormat="1" applyFont="1" applyBorder="1"/>
    <xf numFmtId="164" fontId="0" fillId="5" borderId="11" xfId="4" applyNumberFormat="1" applyFont="1" applyBorder="1"/>
    <xf numFmtId="1" fontId="0" fillId="5" borderId="11" xfId="4" applyNumberFormat="1" applyFont="1" applyBorder="1"/>
    <xf numFmtId="49" fontId="6" fillId="6" borderId="11" xfId="6" applyNumberFormat="1" applyBorder="1"/>
    <xf numFmtId="0" fontId="6" fillId="6" borderId="11" xfId="6" applyNumberFormat="1" applyBorder="1"/>
    <xf numFmtId="164" fontId="0" fillId="3" borderId="11" xfId="7" applyNumberFormat="1" applyFont="1" applyBorder="1"/>
    <xf numFmtId="165" fontId="0" fillId="3" borderId="11" xfId="7" applyNumberFormat="1" applyFont="1" applyBorder="1"/>
    <xf numFmtId="0" fontId="0" fillId="3" borderId="11" xfId="7" applyNumberFormat="1" applyFont="1" applyBorder="1"/>
    <xf numFmtId="166" fontId="0" fillId="3" borderId="11" xfId="7" applyNumberFormat="1" applyFont="1" applyBorder="1"/>
    <xf numFmtId="1" fontId="0" fillId="4" borderId="11" xfId="5" applyNumberFormat="1" applyFont="1" applyBorder="1" applyAlignment="1"/>
    <xf numFmtId="167" fontId="0" fillId="4" borderId="11" xfId="5" applyNumberFormat="1" applyFont="1" applyBorder="1" applyAlignment="1"/>
    <xf numFmtId="167" fontId="5" fillId="4" borderId="11" xfId="5" applyNumberFormat="1" applyBorder="1" applyAlignment="1"/>
    <xf numFmtId="0" fontId="0" fillId="2" borderId="11" xfId="1" applyNumberFormat="1" applyFont="1" applyBorder="1"/>
    <xf numFmtId="0" fontId="0" fillId="0" borderId="0" xfId="2" applyNumberFormat="1" applyFont="1" applyBorder="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9">
    <dxf>
      <numFmt numFmtId="30" formatCode="@"/>
      <alignment horizontal="general" vertical="bottom" textRotation="0" wrapText="1" 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relativeIndent="0" justifyLastLine="0" shrinkToFit="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
      <font>
        <b/>
        <i val="0"/>
      </font>
      <fill>
        <patternFill>
          <bgColor rgb="FFD7D7D7"/>
        </patternFill>
      </fill>
    </dxf>
    <dxf>
      <font>
        <b val="0"/>
        <i val="0"/>
      </font>
      <fill>
        <patternFill patternType="none">
          <bgColor indexed="65"/>
        </patternFill>
      </fill>
    </dxf>
  </dxfs>
  <tableStyles count="2" defaultTableStyle="TableStyleMedium9" defaultPivotStyle="PivotStyleLight16">
    <tableStyle name="MySqlDefault" pivot="0" table="0" count="2">
      <tableStyleElement type="wholeTable" dxfId="98"/>
      <tableStyleElement type="headerRow" dxfId="97"/>
    </tableStyle>
    <tableStyle name="NodeXL Table" pivot="0" count="1">
      <tableStyleElement type="headerRow" dxfId="9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859264"/>
        <c:axId val="6849464"/>
      </c:barChart>
      <c:catAx>
        <c:axId val="6859264"/>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6849464"/>
        <c:crosses val="autoZero"/>
        <c:auto val="1"/>
        <c:lblAlgn val="ctr"/>
        <c:lblOffset val="100"/>
        <c:noMultiLvlLbl val="0"/>
      </c:catAx>
      <c:valAx>
        <c:axId val="684946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85926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6856520"/>
        <c:axId val="6850640"/>
      </c:barChart>
      <c:catAx>
        <c:axId val="685652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6850640"/>
        <c:crosses val="autoZero"/>
        <c:auto val="1"/>
        <c:lblAlgn val="ctr"/>
        <c:lblOffset val="100"/>
        <c:noMultiLvlLbl val="0"/>
      </c:catAx>
      <c:valAx>
        <c:axId val="68506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685652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03036264"/>
        <c:axId val="503044104"/>
      </c:barChart>
      <c:catAx>
        <c:axId val="503036264"/>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overlay val="0"/>
        </c:title>
        <c:numFmt formatCode="#,##0.00" sourceLinked="1"/>
        <c:majorTickMark val="out"/>
        <c:minorTickMark val="none"/>
        <c:tickLblPos val="none"/>
        <c:crossAx val="503044104"/>
        <c:crosses val="autoZero"/>
        <c:auto val="1"/>
        <c:lblAlgn val="ctr"/>
        <c:lblOffset val="100"/>
        <c:noMultiLvlLbl val="0"/>
      </c:catAx>
      <c:valAx>
        <c:axId val="5030441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03036264"/>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03035480"/>
        <c:axId val="503041360"/>
      </c:barChart>
      <c:catAx>
        <c:axId val="503035480"/>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overlay val="0"/>
        </c:title>
        <c:numFmt formatCode="#,##0.00" sourceLinked="1"/>
        <c:majorTickMark val="out"/>
        <c:minorTickMark val="none"/>
        <c:tickLblPos val="none"/>
        <c:crossAx val="503041360"/>
        <c:crosses val="autoZero"/>
        <c:auto val="1"/>
        <c:lblAlgn val="ctr"/>
        <c:lblOffset val="100"/>
        <c:noMultiLvlLbl val="0"/>
      </c:catAx>
      <c:valAx>
        <c:axId val="50304136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030354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03045280"/>
        <c:axId val="503039008"/>
      </c:barChart>
      <c:catAx>
        <c:axId val="503045280"/>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overlay val="0"/>
        </c:title>
        <c:numFmt formatCode="#,##0.00" sourceLinked="1"/>
        <c:majorTickMark val="out"/>
        <c:minorTickMark val="none"/>
        <c:tickLblPos val="none"/>
        <c:crossAx val="503039008"/>
        <c:crosses val="autoZero"/>
        <c:auto val="1"/>
        <c:lblAlgn val="ctr"/>
        <c:lblOffset val="100"/>
        <c:noMultiLvlLbl val="0"/>
      </c:catAx>
      <c:valAx>
        <c:axId val="5030390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03045280"/>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03043712"/>
        <c:axId val="503040576"/>
      </c:barChart>
      <c:catAx>
        <c:axId val="50304371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overlay val="0"/>
        </c:title>
        <c:numFmt formatCode="#,##0.00" sourceLinked="1"/>
        <c:majorTickMark val="out"/>
        <c:minorTickMark val="none"/>
        <c:tickLblPos val="none"/>
        <c:crossAx val="503040576"/>
        <c:crosses val="autoZero"/>
        <c:auto val="1"/>
        <c:lblAlgn val="ctr"/>
        <c:lblOffset val="100"/>
        <c:noMultiLvlLbl val="0"/>
      </c:catAx>
      <c:valAx>
        <c:axId val="5030405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0304371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03035088"/>
        <c:axId val="503037048"/>
      </c:barChart>
      <c:catAx>
        <c:axId val="503035088"/>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overlay val="0"/>
        </c:title>
        <c:numFmt formatCode="#,##0.00" sourceLinked="1"/>
        <c:majorTickMark val="out"/>
        <c:minorTickMark val="none"/>
        <c:tickLblPos val="none"/>
        <c:crossAx val="503037048"/>
        <c:crosses val="autoZero"/>
        <c:auto val="1"/>
        <c:lblAlgn val="ctr"/>
        <c:lblOffset val="100"/>
        <c:noMultiLvlLbl val="0"/>
      </c:catAx>
      <c:valAx>
        <c:axId val="50303704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03035088"/>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503045672"/>
        <c:axId val="503040968"/>
      </c:barChart>
      <c:catAx>
        <c:axId val="503045672"/>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503040968"/>
        <c:crosses val="autoZero"/>
        <c:auto val="1"/>
        <c:lblAlgn val="ctr"/>
        <c:lblOffset val="100"/>
        <c:noMultiLvlLbl val="0"/>
      </c:catAx>
      <c:valAx>
        <c:axId val="50304096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503045672"/>
        <c:crosses val="autoZero"/>
        <c:crossBetween val="between"/>
      </c:valAx>
    </c:plotArea>
    <c:plotVisOnly val="0"/>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varyColors val="0"/>
        <c:ser>
          <c:idx val="1"/>
          <c:order val="0"/>
          <c:tx>
            <c:strRef>
              <c:f>'Overall Metrics'!$U$2</c:f>
              <c:strCache>
                <c:ptCount val="1"/>
                <c:pt idx="0">
                  <c:v>2</c:v>
                </c:pt>
              </c:strCache>
            </c:strRef>
          </c:tx>
          <c:spPr>
            <a:solidFill>
              <a:schemeClr val="accent1"/>
            </a:solidFill>
          </c:spPr>
          <c:invertIfNegative val="0"/>
          <c:cat>
            <c:numRef>
              <c:f>'Overall Metrics'!$T$2:$T$45</c:f>
              <c:numCache>
                <c:formatCode>#,##0.00</c:formatCode>
                <c:ptCount val="44"/>
                <c:pt idx="0">
                  <c:v>169.42622375488281</c:v>
                </c:pt>
                <c:pt idx="1">
                  <c:v>393.9918929698855</c:v>
                </c:pt>
                <c:pt idx="2">
                  <c:v>618.55756218488818</c:v>
                </c:pt>
                <c:pt idx="3">
                  <c:v>843.12323139989087</c:v>
                </c:pt>
                <c:pt idx="4">
                  <c:v>1067.6889006148936</c:v>
                </c:pt>
                <c:pt idx="5">
                  <c:v>1292.2545698298964</c:v>
                </c:pt>
                <c:pt idx="6">
                  <c:v>1516.8202390448992</c:v>
                </c:pt>
                <c:pt idx="7">
                  <c:v>1741.385908259902</c:v>
                </c:pt>
                <c:pt idx="8">
                  <c:v>1965.9515774749048</c:v>
                </c:pt>
                <c:pt idx="9">
                  <c:v>2190.5172466899076</c:v>
                </c:pt>
                <c:pt idx="10">
                  <c:v>2415.0829159049104</c:v>
                </c:pt>
                <c:pt idx="11">
                  <c:v>2639.6485851199132</c:v>
                </c:pt>
                <c:pt idx="12">
                  <c:v>2864.2142543349159</c:v>
                </c:pt>
                <c:pt idx="13">
                  <c:v>3088.7799235499187</c:v>
                </c:pt>
                <c:pt idx="14">
                  <c:v>3313.3455927649215</c:v>
                </c:pt>
                <c:pt idx="15">
                  <c:v>3537.9112619799243</c:v>
                </c:pt>
                <c:pt idx="16">
                  <c:v>3762.4769311949271</c:v>
                </c:pt>
                <c:pt idx="17">
                  <c:v>3987.0426004099299</c:v>
                </c:pt>
                <c:pt idx="18">
                  <c:v>4211.6082696249323</c:v>
                </c:pt>
                <c:pt idx="19">
                  <c:v>4436.1739388399346</c:v>
                </c:pt>
                <c:pt idx="20">
                  <c:v>4660.739608054937</c:v>
                </c:pt>
                <c:pt idx="21">
                  <c:v>4885.3052772699393</c:v>
                </c:pt>
                <c:pt idx="22">
                  <c:v>5109.8709464849417</c:v>
                </c:pt>
                <c:pt idx="23">
                  <c:v>5334.436615699944</c:v>
                </c:pt>
                <c:pt idx="24">
                  <c:v>5559.0022849149464</c:v>
                </c:pt>
                <c:pt idx="25">
                  <c:v>5783.5679541299487</c:v>
                </c:pt>
                <c:pt idx="26">
                  <c:v>6008.133623344951</c:v>
                </c:pt>
                <c:pt idx="27">
                  <c:v>6232.6992925599534</c:v>
                </c:pt>
                <c:pt idx="28">
                  <c:v>6457.2649617749557</c:v>
                </c:pt>
                <c:pt idx="29">
                  <c:v>6681.8306309899581</c:v>
                </c:pt>
                <c:pt idx="30">
                  <c:v>6906.3963002049604</c:v>
                </c:pt>
                <c:pt idx="31">
                  <c:v>7130.9619694199628</c:v>
                </c:pt>
                <c:pt idx="32">
                  <c:v>7355.5276386349651</c:v>
                </c:pt>
                <c:pt idx="33">
                  <c:v>7580.0933078499675</c:v>
                </c:pt>
                <c:pt idx="34">
                  <c:v>7804.6589770649698</c:v>
                </c:pt>
                <c:pt idx="35">
                  <c:v>8029.2246462799721</c:v>
                </c:pt>
                <c:pt idx="36">
                  <c:v>8253.7903154949745</c:v>
                </c:pt>
                <c:pt idx="37">
                  <c:v>8478.3559847099768</c:v>
                </c:pt>
                <c:pt idx="38">
                  <c:v>8702.9216539249792</c:v>
                </c:pt>
                <c:pt idx="39">
                  <c:v>8927.4873231399815</c:v>
                </c:pt>
                <c:pt idx="40">
                  <c:v>9152.0529923549839</c:v>
                </c:pt>
                <c:pt idx="41">
                  <c:v>9376.6186615699862</c:v>
                </c:pt>
                <c:pt idx="42">
                  <c:v>9601.1843307849886</c:v>
                </c:pt>
                <c:pt idx="43">
                  <c:v>9825.75</c:v>
                </c:pt>
              </c:numCache>
            </c:numRef>
          </c:cat>
          <c:val>
            <c:numRef>
              <c:f>'Overall Metrics'!$U$2:$U$45</c:f>
              <c:numCache>
                <c:formatCode>General</c:formatCode>
                <c:ptCount val="44"/>
                <c:pt idx="0">
                  <c:v>2</c:v>
                </c:pt>
                <c:pt idx="1">
                  <c:v>0</c:v>
                </c:pt>
                <c:pt idx="2">
                  <c:v>0</c:v>
                </c:pt>
                <c:pt idx="3">
                  <c:v>0</c:v>
                </c:pt>
                <c:pt idx="4">
                  <c:v>0</c:v>
                </c:pt>
                <c:pt idx="5">
                  <c:v>0</c:v>
                </c:pt>
                <c:pt idx="6">
                  <c:v>0</c:v>
                </c:pt>
                <c:pt idx="7">
                  <c:v>0</c:v>
                </c:pt>
                <c:pt idx="8">
                  <c:v>0</c:v>
                </c:pt>
                <c:pt idx="9">
                  <c:v>0</c:v>
                </c:pt>
                <c:pt idx="10">
                  <c:v>1</c:v>
                </c:pt>
                <c:pt idx="11">
                  <c:v>0</c:v>
                </c:pt>
                <c:pt idx="12">
                  <c:v>1</c:v>
                </c:pt>
                <c:pt idx="13">
                  <c:v>0</c:v>
                </c:pt>
                <c:pt idx="14">
                  <c:v>0</c:v>
                </c:pt>
                <c:pt idx="15">
                  <c:v>0</c:v>
                </c:pt>
                <c:pt idx="16">
                  <c:v>0</c:v>
                </c:pt>
                <c:pt idx="17">
                  <c:v>1</c:v>
                </c:pt>
                <c:pt idx="18">
                  <c:v>0</c:v>
                </c:pt>
                <c:pt idx="19">
                  <c:v>0</c:v>
                </c:pt>
                <c:pt idx="20">
                  <c:v>0</c:v>
                </c:pt>
                <c:pt idx="21">
                  <c:v>0</c:v>
                </c:pt>
                <c:pt idx="22">
                  <c:v>0</c:v>
                </c:pt>
                <c:pt idx="23">
                  <c:v>0</c:v>
                </c:pt>
                <c:pt idx="24">
                  <c:v>0</c:v>
                </c:pt>
                <c:pt idx="25">
                  <c:v>0</c:v>
                </c:pt>
                <c:pt idx="26">
                  <c:v>0</c:v>
                </c:pt>
                <c:pt idx="27">
                  <c:v>1</c:v>
                </c:pt>
                <c:pt idx="28">
                  <c:v>0</c:v>
                </c:pt>
                <c:pt idx="29">
                  <c:v>1</c:v>
                </c:pt>
                <c:pt idx="30">
                  <c:v>1</c:v>
                </c:pt>
                <c:pt idx="31">
                  <c:v>0</c:v>
                </c:pt>
                <c:pt idx="32">
                  <c:v>0</c:v>
                </c:pt>
                <c:pt idx="33">
                  <c:v>0</c:v>
                </c:pt>
                <c:pt idx="34">
                  <c:v>0</c:v>
                </c:pt>
                <c:pt idx="35">
                  <c:v>0</c:v>
                </c:pt>
                <c:pt idx="36">
                  <c:v>0</c:v>
                </c:pt>
                <c:pt idx="37">
                  <c:v>0</c:v>
                </c:pt>
                <c:pt idx="38">
                  <c:v>0</c:v>
                </c:pt>
                <c:pt idx="39">
                  <c:v>0</c:v>
                </c:pt>
                <c:pt idx="40">
                  <c:v>0</c:v>
                </c:pt>
                <c:pt idx="41">
                  <c:v>0</c:v>
                </c:pt>
                <c:pt idx="42">
                  <c:v>1</c:v>
                </c:pt>
                <c:pt idx="43">
                  <c:v>1</c:v>
                </c:pt>
              </c:numCache>
            </c:numRef>
          </c:val>
        </c:ser>
        <c:dLbls>
          <c:showLegendKey val="0"/>
          <c:showVal val="0"/>
          <c:showCatName val="0"/>
          <c:showSerName val="0"/>
          <c:showPercent val="0"/>
          <c:showBubbleSize val="0"/>
        </c:dLbls>
        <c:gapWidth val="0"/>
        <c:axId val="503033912"/>
        <c:axId val="503035872"/>
      </c:barChart>
      <c:catAx>
        <c:axId val="503033912"/>
        <c:scaling>
          <c:orientation val="minMax"/>
        </c:scaling>
        <c:delete val="1"/>
        <c:axPos val="b"/>
        <c:numFmt formatCode="#,##0.00" sourceLinked="1"/>
        <c:majorTickMark val="out"/>
        <c:minorTickMark val="none"/>
        <c:tickLblPos val="none"/>
        <c:crossAx val="503035872"/>
        <c:crosses val="autoZero"/>
        <c:auto val="1"/>
        <c:lblAlgn val="ctr"/>
        <c:lblOffset val="100"/>
        <c:noMultiLvlLbl val="0"/>
      </c:catAx>
      <c:valAx>
        <c:axId val="503035872"/>
        <c:scaling>
          <c:orientation val="minMax"/>
        </c:scaling>
        <c:delete val="1"/>
        <c:axPos val="l"/>
        <c:numFmt formatCode="General" sourceLinked="1"/>
        <c:majorTickMark val="out"/>
        <c:minorTickMark val="none"/>
        <c:tickLblPos val="none"/>
        <c:crossAx val="503033912"/>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65" totalsRowShown="0" headerRowDxfId="95" dataDxfId="94">
  <autoFilter ref="A2:N65"/>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0" dataCellStyle="NodeXL Required"/>
    <tableColumn id="12" name="Label Text Color" dataDxfId="86" dataCellStyle="NodeXL Label"/>
    <tableColumn id="13" name="Label Font Size" dataDxfId="85" dataCellStyle="NodeXL Label"/>
    <tableColumn id="14" name="Reciprocated?" dataDxfId="84" dataCellStyle="NodeXL Graph Metric"/>
    <tableColumn id="7" name="ID" dataDxfId="83" dataCellStyle="NodeXL Do Not Edit"/>
    <tableColumn id="9" name="Dynamic Filter" dataDxfId="82" dataCellStyle="NodeXL Do Not Edit">
      <calculatedColumnFormula xml:space="preserve"> IF(AND(TRUE), TRUE, FALSE)</calculatedColumnFormula>
    </tableColumn>
    <tableColumn id="8" name="Add Your Own Columns Here" dataDxfId="81"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D12" totalsRowShown="0" headerRowDxfId="80" dataDxfId="79">
  <autoFilter ref="A2:AD12"/>
  <tableColumns count="30">
    <tableColumn id="1" name="Vertex" dataDxfId="78" dataCellStyle="NodeXL Required"/>
    <tableColumn id="2" name="Color" dataDxfId="77" dataCellStyle="NodeXL Visual Property"/>
    <tableColumn id="5" name="Shape" dataDxfId="76" dataCellStyle="NodeXL Visual Property"/>
    <tableColumn id="6" name="Size" dataDxfId="75" dataCellStyle="NodeXL Visual Property"/>
    <tableColumn id="4" name="Opacity" dataDxfId="74" dataCellStyle="NodeXL Visual Property"/>
    <tableColumn id="7" name="Image File" dataDxfId="73" dataCellStyle="NodeXL Visual Property"/>
    <tableColumn id="3" name="Visibility" dataDxfId="72" dataCellStyle="NodeXL Visual Property"/>
    <tableColumn id="10" name="Label" dataDxfId="71" dataCellStyle="NodeXL Label"/>
    <tableColumn id="16" name="Label Fill Color" dataDxfId="70" dataCellStyle="NodeXL Label"/>
    <tableColumn id="9" name="Label Position" dataDxfId="69" dataCellStyle="NodeXL Label"/>
    <tableColumn id="8" name="Tooltip" dataDxfId="68" dataCellStyle="NodeXL Label"/>
    <tableColumn id="18" name="Layout Order" dataDxfId="67" dataCellStyle="NodeXL Layout"/>
    <tableColumn id="13" name="X" dataDxfId="66" dataCellStyle="NodeXL Layout"/>
    <tableColumn id="14" name="Y" dataDxfId="65" dataCellStyle="NodeXL Layout"/>
    <tableColumn id="12" name="Locked?" dataDxfId="64" dataCellStyle="NodeXL Layout"/>
    <tableColumn id="19" name="Polar R" dataDxfId="63" dataCellStyle="NodeXL Layout"/>
    <tableColumn id="20" name="Polar Angle" dataDxfId="62" dataCellStyle="NodeXL Layout"/>
    <tableColumn id="21" name="Degree" dataDxfId="61" dataCellStyle="NodeXL Graph Metric"/>
    <tableColumn id="22" name="In-Degree" dataDxfId="60" dataCellStyle="NodeXL Graph Metric"/>
    <tableColumn id="23" name="Out-Degree" dataDxfId="59" dataCellStyle="NodeXL Graph Metric"/>
    <tableColumn id="24" name="Betweenness Centrality" dataDxfId="58" dataCellStyle="NodeXL Graph Metric"/>
    <tableColumn id="25" name="Closeness Centrality" dataDxfId="57" dataCellStyle="NodeXL Graph Metric"/>
    <tableColumn id="26" name="Eigenvector Centrality" dataDxfId="56" dataCellStyle="NodeXL Graph Metric"/>
    <tableColumn id="15" name="PageRank" dataDxfId="55" dataCellStyle="NodeXL Graph Metric"/>
    <tableColumn id="27" name="Clustering Coefficient" dataDxfId="54" dataCellStyle="NodeXL Graph Metric"/>
    <tableColumn id="29" name="Reciprocated Vertex Pair Ratio" dataDxfId="53" dataCellStyle="NodeXL Graph Metric"/>
    <tableColumn id="11" name="ID" dataDxfId="52" dataCellStyle="NodeXL Do Not Edit"/>
    <tableColumn id="28" name="Dynamic Filter" dataDxfId="51" dataCellStyle="NodeXL Do Not Edit">
      <calculatedColumnFormula xml:space="preserve"> IF(AND(OR(NOT(ISNUMBER(Vertices[X])), Vertices[X] &gt;= Misc!$O$2), OR(NOT(ISNUMBER(Vertices[X])), Vertices[X] &lt;= Misc!$P$2),OR(NOT(ISNUMBER(Vertices[Y])), Vertices[Y] &gt;= Misc!$O$3), OR(NOT(ISNUMBER(Vertices[Y])), Vertices[Y] &lt;= Misc!$P$3),TRUE), TRUE, FALSE)</calculatedColumnFormula>
    </tableColumn>
    <tableColumn id="17" name="Add Your Own Columns Here" dataDxfId="50" dataCellStyle="NodeXL Other Column"/>
    <tableColumn id="30" name="Marked?" dataCellStyle="Normal"/>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9">
  <autoFilter ref="A2:X3"/>
  <tableColumns count="24">
    <tableColumn id="1" name="Group" dataDxfId="48" dataCellStyle="NodeXL Required"/>
    <tableColumn id="2" name="Vertex Color" dataDxfId="47" dataCellStyle="NodeXL Visual Property"/>
    <tableColumn id="3" name="Vertex Shape" dataDxfId="46" dataCellStyle="NodeXL Visual Property"/>
    <tableColumn id="22" name="Visibility" dataDxfId="45" dataCellStyle="NodeXL Visual Property"/>
    <tableColumn id="4" name="Collapsed?" dataCellStyle="NodeXL Visual Property"/>
    <tableColumn id="18" name="Label" dataDxfId="44" dataCellStyle="NodeXL Label"/>
    <tableColumn id="20" name="Collapsed X" dataCellStyle="NodeXL Layout"/>
    <tableColumn id="21" name="Collapsed Y" dataCellStyle="NodeXL Layout"/>
    <tableColumn id="6" name="ID" dataDxfId="43" dataCellStyle="NodeXL Do Not Edit"/>
    <tableColumn id="19" name="Collapsed Properties" dataDxfId="42" dataCellStyle="NodeXL Do Not Edit"/>
    <tableColumn id="5" name="Vertices" dataDxfId="41" dataCellStyle="NodeXL Graph Metric"/>
    <tableColumn id="7" name="Unique Edges" dataDxfId="40" dataCellStyle="NodeXL Graph Metric"/>
    <tableColumn id="8" name="Edges With Duplicates" dataDxfId="39" dataCellStyle="NodeXL Graph Metric"/>
    <tableColumn id="9" name="Total Edges" dataDxfId="38" dataCellStyle="NodeXL Graph Metric"/>
    <tableColumn id="10" name="Self-Loops" dataDxfId="37" dataCellStyle="NodeXL Graph Metric"/>
    <tableColumn id="24" name="Reciprocated Vertex Pair Ratio" dataDxfId="36" dataCellStyle="NodeXL Graph Metric"/>
    <tableColumn id="25" name="Reciprocated Edge Ratio" dataDxfId="35" dataCellStyle="NodeXL Graph Metric"/>
    <tableColumn id="11" name="Connected Components" dataDxfId="34" dataCellStyle="NodeXL Graph Metric"/>
    <tableColumn id="12" name="Single-Vertex Connected Components" dataDxfId="33" dataCellStyle="NodeXL Graph Metric"/>
    <tableColumn id="13" name="Maximum Vertices in a Connected Component" dataDxfId="32" dataCellStyle="NodeXL Graph Metric"/>
    <tableColumn id="14" name="Maximum Edges in a Connected Component" dataDxfId="31" dataCellStyle="NodeXL Graph Metric"/>
    <tableColumn id="15" name="Maximum Geodesic Distance (Diameter)" dataDxfId="30" dataCellStyle="NodeXL Graph Metric"/>
    <tableColumn id="16" name="Average Geodesic Distance" dataDxfId="29" dataCellStyle="NodeXL Graph Metric"/>
    <tableColumn id="17" name="Graph Density" dataDxfId="28"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7" dataDxfId="26">
  <autoFilter ref="A1:C2"/>
  <tableColumns count="3">
    <tableColumn id="1" name="Group" dataDxfId="25"/>
    <tableColumn id="2" name="Vertex" dataDxfId="24"/>
    <tableColumn id="3" name="Vertex ID" dataDxfId="23"/>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2" dataCellStyle="NodeXL Graph Metric"/>
    <tableColumn id="2" name="Value" dataDxfId="21"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20"/>
    <tableColumn id="2" name="Degree Frequency" dataDxfId="19">
      <calculatedColumnFormula>COUNTIF(Vertices[Degree], "&gt;= " &amp; D2) - COUNTIF(Vertices[Degree], "&gt;=" &amp; D3)</calculatedColumnFormula>
    </tableColumn>
    <tableColumn id="3" name="In-Degree Bin" dataDxfId="18"/>
    <tableColumn id="4" name="In-Degree Frequency" dataDxfId="17">
      <calculatedColumnFormula>COUNTIF(Vertices[In-Degree], "&gt;= " &amp; F2) - COUNTIF(Vertices[In-Degree], "&gt;=" &amp; F3)</calculatedColumnFormula>
    </tableColumn>
    <tableColumn id="5" name="Out-Degree Bin" dataDxfId="16"/>
    <tableColumn id="6" name="Out-Degree Frequency" dataDxfId="15">
      <calculatedColumnFormula>COUNTIF(Vertices[Out-Degree], "&gt;= " &amp; H2) - COUNTIF(Vertices[Out-Degree], "&gt;=" &amp; H3)</calculatedColumnFormula>
    </tableColumn>
    <tableColumn id="7" name="Betweenness Centrality Bin" dataDxfId="14"/>
    <tableColumn id="8" name="Betweenness Centrality Frequency" dataDxfId="13">
      <calculatedColumnFormula>COUNTIF(Vertices[Betweenness Centrality], "&gt;= " &amp; J2) - COUNTIF(Vertices[Betweenness Centrality], "&gt;=" &amp; J3)</calculatedColumnFormula>
    </tableColumn>
    <tableColumn id="9" name="Closeness Centrality Bin" dataDxfId="12"/>
    <tableColumn id="10" name="Closeness Centrality Frequency" dataDxfId="11">
      <calculatedColumnFormula>COUNTIF(Vertices[Closeness Centrality], "&gt;= " &amp; L2) - COUNTIF(Vertices[Closeness Centrality], "&gt;=" &amp; L3)</calculatedColumnFormula>
    </tableColumn>
    <tableColumn id="11" name="Eigenvector Centrality Bin" dataDxfId="10"/>
    <tableColumn id="12" name="Eigenvector Centrality Frequency" dataDxfId="9">
      <calculatedColumnFormula>COUNTIF(Vertices[Eigenvector Centrality], "&gt;= " &amp; N2) - COUNTIF(Vertices[Eigenvector Centrality], "&gt;=" &amp; N3)</calculatedColumnFormula>
    </tableColumn>
    <tableColumn id="18" name="PageRank Bin" dataDxfId="8"/>
    <tableColumn id="17" name="PageRank Frequency" dataDxfId="7">
      <calculatedColumnFormula>COUNTIF(Vertices[Eigenvector Centrality], "&gt;= " &amp; P2) - COUNTIF(Vertices[Eigenvector Centrality], "&gt;=" &amp; P3)</calculatedColumnFormula>
    </tableColumn>
    <tableColumn id="13" name="Clustering Coefficient Bin" dataDxfId="6"/>
    <tableColumn id="14" name="Clustering Coefficient Frequency" dataDxfId="5">
      <calculatedColumnFormula>COUNTIF(Vertices[Clustering Coefficient], "&gt;= " &amp; R2) - COUNTIF(Vertices[Clustering Coefficient], "&gt;=" &amp; R3)</calculatedColumnFormula>
    </tableColumn>
    <tableColumn id="15" name="Dynamic Filter Bin" dataDxfId="4"/>
    <tableColumn id="16" name="Dynamic Filter Frequency" dataDxfId="3">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7" totalsRowShown="0" headerRowDxfId="2">
  <autoFilter ref="J1:K7"/>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3" totalsRowShown="0" headerRowDxfId="1">
  <autoFilter ref="M1:P3"/>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5"/>
  <sheetViews>
    <sheetView tabSelected="1" workbookViewId="0">
      <pane xSplit="2" ySplit="2" topLeftCell="C3" activePane="bottomRight" state="frozen"/>
      <selection pane="topRight" activeCell="C1" sqref="C1"/>
      <selection pane="bottomLeft" activeCell="A3" sqref="A3"/>
      <selection pane="bottomRight" activeCell="A72" sqref="A72"/>
    </sheetView>
  </sheetViews>
  <sheetFormatPr defaultRowHeight="14.4" x14ac:dyDescent="0.3"/>
  <cols>
    <col min="1" max="2" width="10.44140625" style="1" customWidth="1"/>
    <col min="3" max="3" width="7.88671875" style="3" bestFit="1" customWidth="1"/>
    <col min="4" max="4" width="8.6640625" style="2" bestFit="1" customWidth="1"/>
    <col min="5" max="5" width="7.6640625" style="2" bestFit="1" customWidth="1"/>
    <col min="6" max="6" width="9.88671875" style="2" bestFit="1" customWidth="1"/>
    <col min="7" max="7" width="11" style="3" bestFit="1" customWidth="1"/>
    <col min="8" max="8" width="8" style="1" bestFit="1" customWidth="1"/>
    <col min="9" max="9" width="12.33203125" style="3" bestFit="1" customWidth="1"/>
    <col min="10" max="10" width="12.44140625" style="3" bestFit="1" customWidth="1"/>
    <col min="11" max="11" width="15.5546875" style="3" hidden="1" customWidth="1"/>
    <col min="12" max="12" width="11" hidden="1" customWidth="1"/>
    <col min="13" max="13" width="10.88671875" hidden="1" customWidth="1"/>
    <col min="14" max="14" width="16" bestFit="1" customWidth="1"/>
  </cols>
  <sheetData>
    <row r="1" spans="1:14" x14ac:dyDescent="0.3">
      <c r="C1" s="18" t="s">
        <v>39</v>
      </c>
      <c r="D1" s="19"/>
      <c r="E1" s="19"/>
      <c r="F1" s="19"/>
      <c r="G1" s="18"/>
      <c r="H1" s="16" t="s">
        <v>43</v>
      </c>
      <c r="I1" s="66"/>
      <c r="J1" s="66"/>
      <c r="K1" s="35" t="s">
        <v>42</v>
      </c>
      <c r="L1" s="20" t="s">
        <v>40</v>
      </c>
      <c r="M1" s="20"/>
      <c r="N1" s="17" t="s">
        <v>41</v>
      </c>
    </row>
    <row r="2" spans="1:14" ht="30" customHeight="1" x14ac:dyDescent="0.3">
      <c r="A2" s="11" t="s">
        <v>0</v>
      </c>
      <c r="B2" s="11" t="s">
        <v>1</v>
      </c>
      <c r="C2" s="13" t="s">
        <v>2</v>
      </c>
      <c r="D2" s="13" t="s">
        <v>3</v>
      </c>
      <c r="E2" s="13" t="s">
        <v>129</v>
      </c>
      <c r="F2" s="13" t="s">
        <v>4</v>
      </c>
      <c r="G2" s="13" t="s">
        <v>11</v>
      </c>
      <c r="H2" s="11" t="s">
        <v>46</v>
      </c>
      <c r="I2" s="13" t="s">
        <v>159</v>
      </c>
      <c r="J2" s="13" t="s">
        <v>160</v>
      </c>
      <c r="K2" s="13" t="s">
        <v>164</v>
      </c>
      <c r="L2" s="13" t="s">
        <v>12</v>
      </c>
      <c r="M2" s="13" t="s">
        <v>38</v>
      </c>
      <c r="N2" s="13" t="s">
        <v>26</v>
      </c>
    </row>
    <row r="3" spans="1:14" ht="15" customHeight="1" x14ac:dyDescent="0.3">
      <c r="A3" s="50" t="s">
        <v>173</v>
      </c>
      <c r="B3" s="50" t="s">
        <v>174</v>
      </c>
      <c r="C3" s="54"/>
      <c r="D3" s="55"/>
      <c r="E3" s="67"/>
      <c r="F3" s="56"/>
      <c r="G3" s="54"/>
      <c r="H3" s="50" t="s">
        <v>173</v>
      </c>
      <c r="I3" s="57"/>
      <c r="J3" s="57"/>
      <c r="K3" s="69"/>
      <c r="L3" s="63">
        <v>3</v>
      </c>
      <c r="M3" s="63" t="b">
        <f t="shared" ref="M3:M34" si="0" xml:space="preserve"> IF(AND(TRUE), TRUE, FALSE)</f>
        <v>1</v>
      </c>
      <c r="N3" s="64"/>
    </row>
    <row r="4" spans="1:14" ht="15" customHeight="1" x14ac:dyDescent="0.3">
      <c r="A4" s="82" t="s">
        <v>173</v>
      </c>
      <c r="B4" s="82" t="s">
        <v>175</v>
      </c>
      <c r="C4" s="83"/>
      <c r="D4" s="84"/>
      <c r="E4" s="83"/>
      <c r="F4" s="85"/>
      <c r="G4" s="83"/>
      <c r="H4" s="82" t="s">
        <v>173</v>
      </c>
      <c r="I4" s="86"/>
      <c r="J4" s="86"/>
      <c r="K4" s="87"/>
      <c r="L4" s="88">
        <v>4</v>
      </c>
      <c r="M4" s="88" t="b">
        <f t="shared" si="0"/>
        <v>1</v>
      </c>
      <c r="N4" s="89"/>
    </row>
    <row r="5" spans="1:14" x14ac:dyDescent="0.3">
      <c r="A5" s="82" t="s">
        <v>173</v>
      </c>
      <c r="B5" s="82" t="s">
        <v>176</v>
      </c>
      <c r="C5" s="83"/>
      <c r="D5" s="84"/>
      <c r="E5" s="83"/>
      <c r="F5" s="85"/>
      <c r="G5" s="83"/>
      <c r="H5" s="82" t="s">
        <v>173</v>
      </c>
      <c r="I5" s="86"/>
      <c r="J5" s="86"/>
      <c r="K5" s="87"/>
      <c r="L5" s="88">
        <v>5</v>
      </c>
      <c r="M5" s="88" t="b">
        <f t="shared" si="0"/>
        <v>1</v>
      </c>
      <c r="N5" s="89"/>
    </row>
    <row r="6" spans="1:14" x14ac:dyDescent="0.3">
      <c r="A6" s="82" t="s">
        <v>173</v>
      </c>
      <c r="B6" s="82" t="s">
        <v>177</v>
      </c>
      <c r="C6" s="83"/>
      <c r="D6" s="84"/>
      <c r="E6" s="83"/>
      <c r="F6" s="85"/>
      <c r="G6" s="83"/>
      <c r="H6" s="82" t="s">
        <v>173</v>
      </c>
      <c r="I6" s="86"/>
      <c r="J6" s="86"/>
      <c r="K6" s="87"/>
      <c r="L6" s="88">
        <v>6</v>
      </c>
      <c r="M6" s="88" t="b">
        <f t="shared" si="0"/>
        <v>1</v>
      </c>
      <c r="N6" s="89"/>
    </row>
    <row r="7" spans="1:14" x14ac:dyDescent="0.3">
      <c r="A7" s="82" t="s">
        <v>173</v>
      </c>
      <c r="B7" s="82" t="s">
        <v>178</v>
      </c>
      <c r="C7" s="83"/>
      <c r="D7" s="84"/>
      <c r="E7" s="83"/>
      <c r="F7" s="85"/>
      <c r="G7" s="83"/>
      <c r="H7" s="82" t="s">
        <v>173</v>
      </c>
      <c r="I7" s="86"/>
      <c r="J7" s="86"/>
      <c r="K7" s="87"/>
      <c r="L7" s="88">
        <v>7</v>
      </c>
      <c r="M7" s="88" t="b">
        <f t="shared" si="0"/>
        <v>1</v>
      </c>
      <c r="N7" s="89"/>
    </row>
    <row r="8" spans="1:14" x14ac:dyDescent="0.3">
      <c r="A8" s="82" t="s">
        <v>173</v>
      </c>
      <c r="B8" s="82" t="s">
        <v>179</v>
      </c>
      <c r="C8" s="83"/>
      <c r="D8" s="84"/>
      <c r="E8" s="83"/>
      <c r="F8" s="85"/>
      <c r="G8" s="83"/>
      <c r="H8" s="82" t="s">
        <v>173</v>
      </c>
      <c r="I8" s="86"/>
      <c r="J8" s="86"/>
      <c r="K8" s="87"/>
      <c r="L8" s="88">
        <v>8</v>
      </c>
      <c r="M8" s="88" t="b">
        <f t="shared" si="0"/>
        <v>1</v>
      </c>
      <c r="N8" s="89"/>
    </row>
    <row r="9" spans="1:14" x14ac:dyDescent="0.3">
      <c r="A9" s="82" t="s">
        <v>173</v>
      </c>
      <c r="B9" s="82" t="s">
        <v>180</v>
      </c>
      <c r="C9" s="83"/>
      <c r="D9" s="84"/>
      <c r="E9" s="83"/>
      <c r="F9" s="85"/>
      <c r="G9" s="83"/>
      <c r="H9" s="82" t="s">
        <v>173</v>
      </c>
      <c r="I9" s="86"/>
      <c r="J9" s="86"/>
      <c r="K9" s="87"/>
      <c r="L9" s="88">
        <v>9</v>
      </c>
      <c r="M9" s="88" t="b">
        <f t="shared" si="0"/>
        <v>1</v>
      </c>
      <c r="N9" s="89"/>
    </row>
    <row r="10" spans="1:14" x14ac:dyDescent="0.3">
      <c r="A10" s="82" t="s">
        <v>173</v>
      </c>
      <c r="B10" s="82" t="s">
        <v>181</v>
      </c>
      <c r="C10" s="83"/>
      <c r="D10" s="84"/>
      <c r="E10" s="83"/>
      <c r="F10" s="85"/>
      <c r="G10" s="83"/>
      <c r="H10" s="82" t="s">
        <v>173</v>
      </c>
      <c r="I10" s="86"/>
      <c r="J10" s="86"/>
      <c r="K10" s="87"/>
      <c r="L10" s="88">
        <v>10</v>
      </c>
      <c r="M10" s="88" t="b">
        <f t="shared" si="0"/>
        <v>1</v>
      </c>
      <c r="N10" s="89"/>
    </row>
    <row r="11" spans="1:14" x14ac:dyDescent="0.3">
      <c r="A11" s="82" t="s">
        <v>173</v>
      </c>
      <c r="B11" s="82" t="s">
        <v>182</v>
      </c>
      <c r="C11" s="83"/>
      <c r="D11" s="84"/>
      <c r="E11" s="83"/>
      <c r="F11" s="85"/>
      <c r="G11" s="83"/>
      <c r="H11" s="82" t="s">
        <v>173</v>
      </c>
      <c r="I11" s="86"/>
      <c r="J11" s="86"/>
      <c r="K11" s="87"/>
      <c r="L11" s="88">
        <v>11</v>
      </c>
      <c r="M11" s="88" t="b">
        <f t="shared" si="0"/>
        <v>1</v>
      </c>
      <c r="N11" s="89"/>
    </row>
    <row r="12" spans="1:14" x14ac:dyDescent="0.3">
      <c r="A12" s="82" t="s">
        <v>174</v>
      </c>
      <c r="B12" s="82" t="s">
        <v>175</v>
      </c>
      <c r="C12" s="83"/>
      <c r="D12" s="84"/>
      <c r="E12" s="83"/>
      <c r="F12" s="85"/>
      <c r="G12" s="83"/>
      <c r="H12" s="82" t="s">
        <v>174</v>
      </c>
      <c r="I12" s="86"/>
      <c r="J12" s="86"/>
      <c r="K12" s="87"/>
      <c r="L12" s="88">
        <v>12</v>
      </c>
      <c r="M12" s="88" t="b">
        <f t="shared" si="0"/>
        <v>1</v>
      </c>
      <c r="N12" s="89"/>
    </row>
    <row r="13" spans="1:14" x14ac:dyDescent="0.3">
      <c r="A13" s="82" t="s">
        <v>174</v>
      </c>
      <c r="B13" s="82" t="s">
        <v>176</v>
      </c>
      <c r="C13" s="83"/>
      <c r="D13" s="84"/>
      <c r="E13" s="83"/>
      <c r="F13" s="85"/>
      <c r="G13" s="83"/>
      <c r="H13" s="82" t="s">
        <v>174</v>
      </c>
      <c r="I13" s="86"/>
      <c r="J13" s="86"/>
      <c r="K13" s="87"/>
      <c r="L13" s="88">
        <v>13</v>
      </c>
      <c r="M13" s="88" t="b">
        <f t="shared" si="0"/>
        <v>1</v>
      </c>
      <c r="N13" s="89"/>
    </row>
    <row r="14" spans="1:14" x14ac:dyDescent="0.3">
      <c r="A14" s="82" t="s">
        <v>174</v>
      </c>
      <c r="B14" s="82" t="s">
        <v>177</v>
      </c>
      <c r="C14" s="83"/>
      <c r="D14" s="84"/>
      <c r="E14" s="83"/>
      <c r="F14" s="85"/>
      <c r="G14" s="83"/>
      <c r="H14" s="82" t="s">
        <v>174</v>
      </c>
      <c r="I14" s="86"/>
      <c r="J14" s="86"/>
      <c r="K14" s="87"/>
      <c r="L14" s="88">
        <v>14</v>
      </c>
      <c r="M14" s="88" t="b">
        <f t="shared" si="0"/>
        <v>1</v>
      </c>
      <c r="N14" s="89"/>
    </row>
    <row r="15" spans="1:14" x14ac:dyDescent="0.3">
      <c r="A15" s="82" t="s">
        <v>174</v>
      </c>
      <c r="B15" s="82" t="s">
        <v>178</v>
      </c>
      <c r="C15" s="83"/>
      <c r="D15" s="84"/>
      <c r="E15" s="83"/>
      <c r="F15" s="85"/>
      <c r="G15" s="83"/>
      <c r="H15" s="82" t="s">
        <v>174</v>
      </c>
      <c r="I15" s="86"/>
      <c r="J15" s="86"/>
      <c r="K15" s="87"/>
      <c r="L15" s="88">
        <v>15</v>
      </c>
      <c r="M15" s="88" t="b">
        <f t="shared" si="0"/>
        <v>1</v>
      </c>
      <c r="N15" s="89"/>
    </row>
    <row r="16" spans="1:14" x14ac:dyDescent="0.3">
      <c r="A16" s="82" t="s">
        <v>174</v>
      </c>
      <c r="B16" s="82" t="s">
        <v>179</v>
      </c>
      <c r="C16" s="83"/>
      <c r="D16" s="84"/>
      <c r="E16" s="83"/>
      <c r="F16" s="85"/>
      <c r="G16" s="83"/>
      <c r="H16" s="82" t="s">
        <v>174</v>
      </c>
      <c r="I16" s="86"/>
      <c r="J16" s="86"/>
      <c r="K16" s="87"/>
      <c r="L16" s="88">
        <v>16</v>
      </c>
      <c r="M16" s="88" t="b">
        <f t="shared" si="0"/>
        <v>1</v>
      </c>
      <c r="N16" s="89"/>
    </row>
    <row r="17" spans="1:14" x14ac:dyDescent="0.3">
      <c r="A17" s="82" t="s">
        <v>174</v>
      </c>
      <c r="B17" s="82" t="s">
        <v>180</v>
      </c>
      <c r="C17" s="83"/>
      <c r="D17" s="84"/>
      <c r="E17" s="83"/>
      <c r="F17" s="85"/>
      <c r="G17" s="83"/>
      <c r="H17" s="82" t="s">
        <v>174</v>
      </c>
      <c r="I17" s="86"/>
      <c r="J17" s="86"/>
      <c r="K17" s="87"/>
      <c r="L17" s="88">
        <v>17</v>
      </c>
      <c r="M17" s="88" t="b">
        <f t="shared" si="0"/>
        <v>1</v>
      </c>
      <c r="N17" s="89"/>
    </row>
    <row r="18" spans="1:14" x14ac:dyDescent="0.3">
      <c r="A18" s="82" t="s">
        <v>174</v>
      </c>
      <c r="B18" s="82" t="s">
        <v>181</v>
      </c>
      <c r="C18" s="83"/>
      <c r="D18" s="84"/>
      <c r="E18" s="83"/>
      <c r="F18" s="85"/>
      <c r="G18" s="83"/>
      <c r="H18" s="82" t="s">
        <v>174</v>
      </c>
      <c r="I18" s="86"/>
      <c r="J18" s="86"/>
      <c r="K18" s="87"/>
      <c r="L18" s="88">
        <v>18</v>
      </c>
      <c r="M18" s="88" t="b">
        <f t="shared" si="0"/>
        <v>1</v>
      </c>
      <c r="N18" s="89"/>
    </row>
    <row r="19" spans="1:14" x14ac:dyDescent="0.3">
      <c r="A19" s="82" t="s">
        <v>174</v>
      </c>
      <c r="B19" s="82" t="s">
        <v>182</v>
      </c>
      <c r="C19" s="83"/>
      <c r="D19" s="84"/>
      <c r="E19" s="83"/>
      <c r="F19" s="85"/>
      <c r="G19" s="83"/>
      <c r="H19" s="82" t="s">
        <v>174</v>
      </c>
      <c r="I19" s="86"/>
      <c r="J19" s="86"/>
      <c r="K19" s="87"/>
      <c r="L19" s="88">
        <v>19</v>
      </c>
      <c r="M19" s="88" t="b">
        <f t="shared" si="0"/>
        <v>1</v>
      </c>
      <c r="N19" s="89"/>
    </row>
    <row r="20" spans="1:14" x14ac:dyDescent="0.3">
      <c r="A20" s="82" t="s">
        <v>175</v>
      </c>
      <c r="B20" s="82" t="s">
        <v>176</v>
      </c>
      <c r="C20" s="83"/>
      <c r="D20" s="84"/>
      <c r="E20" s="83"/>
      <c r="F20" s="85"/>
      <c r="G20" s="83"/>
      <c r="H20" s="82" t="s">
        <v>175</v>
      </c>
      <c r="I20" s="86"/>
      <c r="J20" s="86"/>
      <c r="K20" s="87"/>
      <c r="L20" s="88">
        <v>20</v>
      </c>
      <c r="M20" s="88" t="b">
        <f t="shared" si="0"/>
        <v>1</v>
      </c>
      <c r="N20" s="89"/>
    </row>
    <row r="21" spans="1:14" x14ac:dyDescent="0.3">
      <c r="A21" s="50" t="s">
        <v>174</v>
      </c>
      <c r="B21" t="s">
        <v>173</v>
      </c>
      <c r="C21" s="83"/>
      <c r="D21" s="84"/>
      <c r="E21" s="83"/>
      <c r="F21" s="85"/>
      <c r="G21" s="83"/>
      <c r="H21" s="50" t="s">
        <v>174</v>
      </c>
      <c r="I21" s="86"/>
      <c r="J21" s="86"/>
      <c r="K21" s="87"/>
      <c r="L21" s="88">
        <v>21</v>
      </c>
      <c r="M21" s="88" t="b">
        <f t="shared" si="0"/>
        <v>1</v>
      </c>
      <c r="N21" s="89"/>
    </row>
    <row r="22" spans="1:14" x14ac:dyDescent="0.3">
      <c r="A22" s="82" t="s">
        <v>175</v>
      </c>
      <c r="B22" t="s">
        <v>173</v>
      </c>
      <c r="C22" s="83"/>
      <c r="D22" s="84"/>
      <c r="E22" s="83"/>
      <c r="F22" s="85"/>
      <c r="G22" s="83"/>
      <c r="H22" s="82" t="s">
        <v>175</v>
      </c>
      <c r="I22" s="86"/>
      <c r="J22" s="86"/>
      <c r="K22" s="87"/>
      <c r="L22" s="88">
        <v>22</v>
      </c>
      <c r="M22" s="88" t="b">
        <f t="shared" si="0"/>
        <v>1</v>
      </c>
      <c r="N22" s="89"/>
    </row>
    <row r="23" spans="1:14" x14ac:dyDescent="0.3">
      <c r="A23" s="82" t="s">
        <v>176</v>
      </c>
      <c r="B23" t="s">
        <v>173</v>
      </c>
      <c r="C23" s="83"/>
      <c r="D23" s="84"/>
      <c r="E23" s="83"/>
      <c r="F23" s="85"/>
      <c r="G23" s="83"/>
      <c r="H23" s="82" t="s">
        <v>176</v>
      </c>
      <c r="I23" s="86"/>
      <c r="J23" s="86"/>
      <c r="K23" s="87"/>
      <c r="L23" s="88">
        <v>23</v>
      </c>
      <c r="M23" s="88" t="b">
        <f t="shared" si="0"/>
        <v>1</v>
      </c>
      <c r="N23" s="89"/>
    </row>
    <row r="24" spans="1:14" x14ac:dyDescent="0.3">
      <c r="A24" s="82" t="s">
        <v>177</v>
      </c>
      <c r="B24" t="s">
        <v>173</v>
      </c>
      <c r="C24" s="83"/>
      <c r="D24" s="84"/>
      <c r="E24" s="83"/>
      <c r="F24" s="85"/>
      <c r="G24" s="83"/>
      <c r="H24" s="82" t="s">
        <v>177</v>
      </c>
      <c r="I24" s="86"/>
      <c r="J24" s="86"/>
      <c r="K24" s="87"/>
      <c r="L24" s="88">
        <v>24</v>
      </c>
      <c r="M24" s="88" t="b">
        <f t="shared" si="0"/>
        <v>1</v>
      </c>
      <c r="N24" s="89"/>
    </row>
    <row r="25" spans="1:14" x14ac:dyDescent="0.3">
      <c r="A25" s="82" t="s">
        <v>178</v>
      </c>
      <c r="B25" t="s">
        <v>173</v>
      </c>
      <c r="C25" s="83"/>
      <c r="D25" s="84"/>
      <c r="E25" s="83"/>
      <c r="F25" s="85"/>
      <c r="G25" s="83"/>
      <c r="H25" s="82" t="s">
        <v>178</v>
      </c>
      <c r="I25" s="86"/>
      <c r="J25" s="86"/>
      <c r="K25" s="87"/>
      <c r="L25" s="88">
        <v>25</v>
      </c>
      <c r="M25" s="88" t="b">
        <f t="shared" si="0"/>
        <v>1</v>
      </c>
      <c r="N25" s="89"/>
    </row>
    <row r="26" spans="1:14" x14ac:dyDescent="0.3">
      <c r="A26" s="82" t="s">
        <v>179</v>
      </c>
      <c r="B26" t="s">
        <v>173</v>
      </c>
      <c r="C26" s="83"/>
      <c r="D26" s="84"/>
      <c r="E26" s="83"/>
      <c r="F26" s="85"/>
      <c r="G26" s="83"/>
      <c r="H26" s="82" t="s">
        <v>179</v>
      </c>
      <c r="I26" s="86"/>
      <c r="J26" s="86"/>
      <c r="K26" s="87"/>
      <c r="L26" s="88">
        <v>26</v>
      </c>
      <c r="M26" s="88" t="b">
        <f t="shared" si="0"/>
        <v>1</v>
      </c>
      <c r="N26" s="89"/>
    </row>
    <row r="27" spans="1:14" x14ac:dyDescent="0.3">
      <c r="A27" s="82" t="s">
        <v>180</v>
      </c>
      <c r="B27" t="s">
        <v>173</v>
      </c>
      <c r="C27" s="83"/>
      <c r="D27" s="84"/>
      <c r="E27" s="83"/>
      <c r="F27" s="85"/>
      <c r="G27" s="83"/>
      <c r="H27" s="82" t="s">
        <v>180</v>
      </c>
      <c r="I27" s="86"/>
      <c r="J27" s="86"/>
      <c r="K27" s="87"/>
      <c r="L27" s="88">
        <v>27</v>
      </c>
      <c r="M27" s="88" t="b">
        <f t="shared" si="0"/>
        <v>1</v>
      </c>
      <c r="N27" s="89"/>
    </row>
    <row r="28" spans="1:14" x14ac:dyDescent="0.3">
      <c r="A28" s="82" t="s">
        <v>181</v>
      </c>
      <c r="B28" t="s">
        <v>173</v>
      </c>
      <c r="C28" s="83"/>
      <c r="D28" s="84"/>
      <c r="E28" s="83"/>
      <c r="F28" s="85"/>
      <c r="G28" s="83"/>
      <c r="H28" s="82" t="s">
        <v>181</v>
      </c>
      <c r="I28" s="86"/>
      <c r="J28" s="86"/>
      <c r="K28" s="87"/>
      <c r="L28" s="88">
        <v>28</v>
      </c>
      <c r="M28" s="88" t="b">
        <f t="shared" si="0"/>
        <v>1</v>
      </c>
      <c r="N28" s="89"/>
    </row>
    <row r="29" spans="1:14" x14ac:dyDescent="0.3">
      <c r="A29" s="82" t="s">
        <v>182</v>
      </c>
      <c r="B29" t="s">
        <v>173</v>
      </c>
      <c r="C29" s="83"/>
      <c r="D29" s="84"/>
      <c r="E29" s="83"/>
      <c r="F29" s="85"/>
      <c r="G29" s="83"/>
      <c r="H29" s="82" t="s">
        <v>182</v>
      </c>
      <c r="I29" s="86"/>
      <c r="J29" s="86"/>
      <c r="K29" s="87"/>
      <c r="L29" s="88">
        <v>29</v>
      </c>
      <c r="M29" s="88" t="b">
        <f t="shared" si="0"/>
        <v>1</v>
      </c>
      <c r="N29" s="89"/>
    </row>
    <row r="30" spans="1:14" x14ac:dyDescent="0.3">
      <c r="A30" s="82" t="s">
        <v>175</v>
      </c>
      <c r="B30" t="s">
        <v>174</v>
      </c>
      <c r="C30" s="83"/>
      <c r="D30" s="84"/>
      <c r="E30" s="83"/>
      <c r="F30" s="85"/>
      <c r="G30" s="83"/>
      <c r="H30" s="82" t="s">
        <v>175</v>
      </c>
      <c r="I30" s="86"/>
      <c r="J30" s="86"/>
      <c r="K30" s="87"/>
      <c r="L30" s="88">
        <v>30</v>
      </c>
      <c r="M30" s="88" t="b">
        <f t="shared" si="0"/>
        <v>1</v>
      </c>
      <c r="N30" s="89"/>
    </row>
    <row r="31" spans="1:14" x14ac:dyDescent="0.3">
      <c r="A31" s="82" t="s">
        <v>176</v>
      </c>
      <c r="B31" t="s">
        <v>174</v>
      </c>
      <c r="C31" s="83"/>
      <c r="D31" s="84"/>
      <c r="E31" s="83"/>
      <c r="F31" s="85"/>
      <c r="G31" s="83"/>
      <c r="H31" s="82" t="s">
        <v>176</v>
      </c>
      <c r="I31" s="86"/>
      <c r="J31" s="86"/>
      <c r="K31" s="87"/>
      <c r="L31" s="88">
        <v>31</v>
      </c>
      <c r="M31" s="88" t="b">
        <f t="shared" si="0"/>
        <v>1</v>
      </c>
      <c r="N31" s="89"/>
    </row>
    <row r="32" spans="1:14" x14ac:dyDescent="0.3">
      <c r="A32" s="82" t="s">
        <v>177</v>
      </c>
      <c r="B32" t="s">
        <v>174</v>
      </c>
      <c r="C32" s="83"/>
      <c r="D32" s="84"/>
      <c r="E32" s="83"/>
      <c r="F32" s="85"/>
      <c r="G32" s="83"/>
      <c r="H32" s="82" t="s">
        <v>177</v>
      </c>
      <c r="I32" s="86"/>
      <c r="J32" s="86"/>
      <c r="K32" s="87"/>
      <c r="L32" s="88">
        <v>32</v>
      </c>
      <c r="M32" s="88" t="b">
        <f t="shared" si="0"/>
        <v>1</v>
      </c>
      <c r="N32" s="89"/>
    </row>
    <row r="33" spans="1:14" x14ac:dyDescent="0.3">
      <c r="A33" s="82" t="s">
        <v>178</v>
      </c>
      <c r="B33" t="s">
        <v>174</v>
      </c>
      <c r="C33" s="83"/>
      <c r="D33" s="84"/>
      <c r="E33" s="83"/>
      <c r="F33" s="85"/>
      <c r="G33" s="83"/>
      <c r="H33" s="82" t="s">
        <v>178</v>
      </c>
      <c r="I33" s="86"/>
      <c r="J33" s="86"/>
      <c r="K33" s="87"/>
      <c r="L33" s="88">
        <v>33</v>
      </c>
      <c r="M33" s="88" t="b">
        <f t="shared" si="0"/>
        <v>1</v>
      </c>
      <c r="N33" s="89"/>
    </row>
    <row r="34" spans="1:14" x14ac:dyDescent="0.3">
      <c r="A34" s="82" t="s">
        <v>179</v>
      </c>
      <c r="B34" t="s">
        <v>174</v>
      </c>
      <c r="C34" s="83"/>
      <c r="D34" s="84"/>
      <c r="E34" s="83"/>
      <c r="F34" s="85"/>
      <c r="G34" s="83"/>
      <c r="H34" s="82" t="s">
        <v>179</v>
      </c>
      <c r="I34" s="86"/>
      <c r="J34" s="86"/>
      <c r="K34" s="87"/>
      <c r="L34" s="88">
        <v>34</v>
      </c>
      <c r="M34" s="88" t="b">
        <f t="shared" si="0"/>
        <v>1</v>
      </c>
      <c r="N34" s="89"/>
    </row>
    <row r="35" spans="1:14" x14ac:dyDescent="0.3">
      <c r="A35" s="82" t="s">
        <v>180</v>
      </c>
      <c r="B35" t="s">
        <v>174</v>
      </c>
      <c r="C35" s="83"/>
      <c r="D35" s="84"/>
      <c r="E35" s="83"/>
      <c r="F35" s="85"/>
      <c r="G35" s="83"/>
      <c r="H35" s="82" t="s">
        <v>180</v>
      </c>
      <c r="I35" s="86"/>
      <c r="J35" s="86"/>
      <c r="K35" s="87"/>
      <c r="L35" s="88">
        <v>35</v>
      </c>
      <c r="M35" s="88" t="b">
        <f t="shared" ref="M35:M65" si="1" xml:space="preserve"> IF(AND(TRUE), TRUE, FALSE)</f>
        <v>1</v>
      </c>
      <c r="N35" s="89"/>
    </row>
    <row r="36" spans="1:14" x14ac:dyDescent="0.3">
      <c r="A36" s="82" t="s">
        <v>181</v>
      </c>
      <c r="B36" t="s">
        <v>174</v>
      </c>
      <c r="C36" s="83"/>
      <c r="D36" s="84"/>
      <c r="E36" s="83"/>
      <c r="F36" s="85"/>
      <c r="G36" s="83"/>
      <c r="H36" s="82" t="s">
        <v>181</v>
      </c>
      <c r="I36" s="86"/>
      <c r="J36" s="86"/>
      <c r="K36" s="87"/>
      <c r="L36" s="88">
        <v>36</v>
      </c>
      <c r="M36" s="88" t="b">
        <f t="shared" si="1"/>
        <v>1</v>
      </c>
      <c r="N36" s="89"/>
    </row>
    <row r="37" spans="1:14" x14ac:dyDescent="0.3">
      <c r="A37" s="82" t="s">
        <v>182</v>
      </c>
      <c r="B37" t="s">
        <v>174</v>
      </c>
      <c r="C37" s="83"/>
      <c r="D37" s="84"/>
      <c r="E37" s="83"/>
      <c r="F37" s="85"/>
      <c r="G37" s="83"/>
      <c r="H37" s="82" t="s">
        <v>182</v>
      </c>
      <c r="I37" s="86"/>
      <c r="J37" s="86"/>
      <c r="K37" s="87"/>
      <c r="L37" s="88">
        <v>37</v>
      </c>
      <c r="M37" s="88" t="b">
        <f t="shared" si="1"/>
        <v>1</v>
      </c>
      <c r="N37" s="89"/>
    </row>
    <row r="38" spans="1:14" x14ac:dyDescent="0.3">
      <c r="A38" s="82" t="s">
        <v>175</v>
      </c>
      <c r="B38" s="82" t="s">
        <v>176</v>
      </c>
      <c r="C38" s="83"/>
      <c r="D38" s="84"/>
      <c r="E38" s="83"/>
      <c r="F38" s="85"/>
      <c r="G38" s="83"/>
      <c r="H38" s="82" t="s">
        <v>175</v>
      </c>
      <c r="I38" s="86"/>
      <c r="J38" s="86"/>
      <c r="K38" s="87"/>
      <c r="L38" s="88">
        <v>38</v>
      </c>
      <c r="M38" s="88" t="b">
        <f t="shared" si="1"/>
        <v>1</v>
      </c>
      <c r="N38" s="89"/>
    </row>
    <row r="39" spans="1:14" x14ac:dyDescent="0.3">
      <c r="A39" s="82" t="s">
        <v>175</v>
      </c>
      <c r="B39" s="82" t="s">
        <v>177</v>
      </c>
      <c r="C39" s="83"/>
      <c r="D39" s="84"/>
      <c r="E39" s="83"/>
      <c r="F39" s="85"/>
      <c r="G39" s="83"/>
      <c r="H39" s="82" t="s">
        <v>175</v>
      </c>
      <c r="I39" s="86"/>
      <c r="J39" s="86"/>
      <c r="K39" s="87"/>
      <c r="L39" s="88">
        <v>39</v>
      </c>
      <c r="M39" s="88" t="b">
        <f t="shared" si="1"/>
        <v>1</v>
      </c>
      <c r="N39" s="89"/>
    </row>
    <row r="40" spans="1:14" x14ac:dyDescent="0.3">
      <c r="A40" s="82" t="s">
        <v>175</v>
      </c>
      <c r="B40" s="82" t="s">
        <v>178</v>
      </c>
      <c r="C40" s="83"/>
      <c r="D40" s="84"/>
      <c r="E40" s="83"/>
      <c r="F40" s="85"/>
      <c r="G40" s="83"/>
      <c r="H40" s="82" t="s">
        <v>175</v>
      </c>
      <c r="I40" s="86"/>
      <c r="J40" s="86"/>
      <c r="K40" s="87"/>
      <c r="L40" s="88">
        <v>40</v>
      </c>
      <c r="M40" s="88" t="b">
        <f t="shared" si="1"/>
        <v>1</v>
      </c>
      <c r="N40" s="89"/>
    </row>
    <row r="41" spans="1:14" x14ac:dyDescent="0.3">
      <c r="A41" s="82" t="s">
        <v>175</v>
      </c>
      <c r="B41" s="82" t="s">
        <v>179</v>
      </c>
      <c r="C41" s="83"/>
      <c r="D41" s="84"/>
      <c r="E41" s="83"/>
      <c r="F41" s="85"/>
      <c r="G41" s="83"/>
      <c r="H41" s="82" t="s">
        <v>175</v>
      </c>
      <c r="I41" s="86"/>
      <c r="J41" s="86"/>
      <c r="K41" s="87"/>
      <c r="L41" s="88">
        <v>41</v>
      </c>
      <c r="M41" s="88" t="b">
        <f t="shared" si="1"/>
        <v>1</v>
      </c>
      <c r="N41" s="89"/>
    </row>
    <row r="42" spans="1:14" x14ac:dyDescent="0.3">
      <c r="A42" s="82" t="s">
        <v>175</v>
      </c>
      <c r="B42" s="82" t="s">
        <v>180</v>
      </c>
      <c r="C42" s="83"/>
      <c r="D42" s="84"/>
      <c r="E42" s="83"/>
      <c r="F42" s="85"/>
      <c r="G42" s="83"/>
      <c r="H42" s="82" t="s">
        <v>175</v>
      </c>
      <c r="I42" s="86"/>
      <c r="J42" s="86"/>
      <c r="K42" s="87"/>
      <c r="L42" s="88">
        <v>42</v>
      </c>
      <c r="M42" s="88" t="b">
        <f t="shared" si="1"/>
        <v>1</v>
      </c>
      <c r="N42" s="89"/>
    </row>
    <row r="43" spans="1:14" x14ac:dyDescent="0.3">
      <c r="A43" s="82" t="s">
        <v>175</v>
      </c>
      <c r="B43" s="82" t="s">
        <v>181</v>
      </c>
      <c r="C43" s="83"/>
      <c r="D43" s="84"/>
      <c r="E43" s="83"/>
      <c r="F43" s="85"/>
      <c r="G43" s="83"/>
      <c r="H43" s="82" t="s">
        <v>175</v>
      </c>
      <c r="I43" s="86"/>
      <c r="J43" s="86"/>
      <c r="K43" s="87"/>
      <c r="L43" s="88">
        <v>43</v>
      </c>
      <c r="M43" s="88" t="b">
        <f t="shared" si="1"/>
        <v>1</v>
      </c>
      <c r="N43" s="89"/>
    </row>
    <row r="44" spans="1:14" x14ac:dyDescent="0.3">
      <c r="A44" s="82" t="s">
        <v>175</v>
      </c>
      <c r="B44" s="82" t="s">
        <v>182</v>
      </c>
      <c r="C44" s="83"/>
      <c r="D44" s="84"/>
      <c r="E44" s="83"/>
      <c r="F44" s="85"/>
      <c r="G44" s="83"/>
      <c r="H44" s="82" t="s">
        <v>175</v>
      </c>
      <c r="I44" s="86"/>
      <c r="J44" s="86"/>
      <c r="K44" s="87"/>
      <c r="L44" s="88">
        <v>44</v>
      </c>
      <c r="M44" s="88" t="b">
        <f t="shared" si="1"/>
        <v>1</v>
      </c>
      <c r="N44" s="89"/>
    </row>
    <row r="45" spans="1:14" x14ac:dyDescent="0.3">
      <c r="A45" s="82" t="s">
        <v>176</v>
      </c>
      <c r="B45" s="82" t="s">
        <v>177</v>
      </c>
      <c r="C45" s="83"/>
      <c r="D45" s="84"/>
      <c r="E45" s="83"/>
      <c r="F45" s="85"/>
      <c r="G45" s="83"/>
      <c r="H45" s="82" t="s">
        <v>176</v>
      </c>
      <c r="I45" s="86"/>
      <c r="J45" s="86"/>
      <c r="K45" s="87"/>
      <c r="L45" s="88">
        <v>45</v>
      </c>
      <c r="M45" s="88" t="b">
        <f t="shared" si="1"/>
        <v>1</v>
      </c>
      <c r="N45" s="89"/>
    </row>
    <row r="46" spans="1:14" x14ac:dyDescent="0.3">
      <c r="A46" s="82" t="s">
        <v>176</v>
      </c>
      <c r="B46" s="82" t="s">
        <v>178</v>
      </c>
      <c r="C46" s="83"/>
      <c r="D46" s="84"/>
      <c r="E46" s="83"/>
      <c r="F46" s="85"/>
      <c r="G46" s="83"/>
      <c r="H46" s="82" t="s">
        <v>176</v>
      </c>
      <c r="I46" s="86"/>
      <c r="J46" s="86"/>
      <c r="K46" s="87"/>
      <c r="L46" s="88">
        <v>46</v>
      </c>
      <c r="M46" s="88" t="b">
        <f t="shared" si="1"/>
        <v>1</v>
      </c>
      <c r="N46" s="89"/>
    </row>
    <row r="47" spans="1:14" x14ac:dyDescent="0.3">
      <c r="A47" s="82" t="s">
        <v>176</v>
      </c>
      <c r="B47" s="82" t="s">
        <v>179</v>
      </c>
      <c r="C47" s="83"/>
      <c r="D47" s="84"/>
      <c r="E47" s="83"/>
      <c r="F47" s="85"/>
      <c r="G47" s="83"/>
      <c r="H47" s="82" t="s">
        <v>176</v>
      </c>
      <c r="I47" s="86"/>
      <c r="J47" s="86"/>
      <c r="K47" s="87"/>
      <c r="L47" s="88">
        <v>47</v>
      </c>
      <c r="M47" s="88" t="b">
        <f t="shared" si="1"/>
        <v>1</v>
      </c>
      <c r="N47" s="89"/>
    </row>
    <row r="48" spans="1:14" x14ac:dyDescent="0.3">
      <c r="A48" s="82" t="s">
        <v>176</v>
      </c>
      <c r="B48" s="82" t="s">
        <v>180</v>
      </c>
      <c r="C48" s="54"/>
      <c r="D48" s="55"/>
      <c r="E48" s="54"/>
      <c r="F48" s="56"/>
      <c r="G48" s="54"/>
      <c r="H48" s="82" t="s">
        <v>176</v>
      </c>
      <c r="I48" s="57"/>
      <c r="J48" s="57"/>
      <c r="K48" s="69"/>
      <c r="L48" s="63">
        <v>48</v>
      </c>
      <c r="M48" s="63" t="b">
        <f t="shared" si="1"/>
        <v>1</v>
      </c>
      <c r="N48" s="64"/>
    </row>
    <row r="49" spans="1:14" x14ac:dyDescent="0.3">
      <c r="A49" s="82" t="s">
        <v>176</v>
      </c>
      <c r="B49" s="82" t="s">
        <v>181</v>
      </c>
      <c r="C49" s="54"/>
      <c r="D49" s="55"/>
      <c r="E49" s="54"/>
      <c r="F49" s="56"/>
      <c r="G49" s="54"/>
      <c r="H49" s="82" t="s">
        <v>176</v>
      </c>
      <c r="I49" s="57"/>
      <c r="J49" s="57"/>
      <c r="K49" s="69"/>
      <c r="L49" s="63">
        <v>49</v>
      </c>
      <c r="M49" s="63" t="b">
        <f t="shared" si="1"/>
        <v>1</v>
      </c>
      <c r="N49" s="64"/>
    </row>
    <row r="50" spans="1:14" x14ac:dyDescent="0.3">
      <c r="A50" s="82" t="s">
        <v>176</v>
      </c>
      <c r="B50" s="82" t="s">
        <v>182</v>
      </c>
      <c r="C50" s="54"/>
      <c r="D50" s="55"/>
      <c r="E50" s="54"/>
      <c r="F50" s="56"/>
      <c r="G50" s="54"/>
      <c r="H50" s="82" t="s">
        <v>176</v>
      </c>
      <c r="I50" s="57"/>
      <c r="J50" s="57"/>
      <c r="K50" s="69"/>
      <c r="L50" s="63">
        <v>50</v>
      </c>
      <c r="M50" s="63" t="b">
        <f t="shared" si="1"/>
        <v>1</v>
      </c>
      <c r="N50" s="64"/>
    </row>
    <row r="51" spans="1:14" x14ac:dyDescent="0.3">
      <c r="A51" s="82" t="s">
        <v>178</v>
      </c>
      <c r="B51" s="82" t="s">
        <v>177</v>
      </c>
      <c r="C51" s="54"/>
      <c r="D51" s="55"/>
      <c r="E51" s="54"/>
      <c r="F51" s="56"/>
      <c r="G51" s="54"/>
      <c r="H51" s="82" t="s">
        <v>178</v>
      </c>
      <c r="I51" s="57"/>
      <c r="J51" s="57"/>
      <c r="K51" s="69"/>
      <c r="L51" s="63">
        <v>51</v>
      </c>
      <c r="M51" s="63" t="b">
        <f t="shared" si="1"/>
        <v>1</v>
      </c>
      <c r="N51" s="64"/>
    </row>
    <row r="52" spans="1:14" x14ac:dyDescent="0.3">
      <c r="A52" s="82" t="s">
        <v>179</v>
      </c>
      <c r="B52" s="82" t="s">
        <v>177</v>
      </c>
      <c r="C52" s="54"/>
      <c r="D52" s="55"/>
      <c r="E52" s="54"/>
      <c r="F52" s="56"/>
      <c r="G52" s="54"/>
      <c r="H52" s="82" t="s">
        <v>179</v>
      </c>
      <c r="I52" s="57"/>
      <c r="J52" s="57"/>
      <c r="K52" s="69"/>
      <c r="L52" s="63">
        <v>52</v>
      </c>
      <c r="M52" s="63" t="b">
        <f t="shared" si="1"/>
        <v>1</v>
      </c>
      <c r="N52" s="64"/>
    </row>
    <row r="53" spans="1:14" x14ac:dyDescent="0.3">
      <c r="A53" s="82" t="s">
        <v>180</v>
      </c>
      <c r="B53" s="82" t="s">
        <v>177</v>
      </c>
      <c r="C53" s="54"/>
      <c r="D53" s="55"/>
      <c r="E53" s="54"/>
      <c r="F53" s="56"/>
      <c r="G53" s="54"/>
      <c r="H53" s="82" t="s">
        <v>180</v>
      </c>
      <c r="I53" s="57"/>
      <c r="J53" s="57"/>
      <c r="K53" s="69"/>
      <c r="L53" s="63">
        <v>53</v>
      </c>
      <c r="M53" s="63" t="b">
        <f t="shared" si="1"/>
        <v>1</v>
      </c>
      <c r="N53" s="64"/>
    </row>
    <row r="54" spans="1:14" x14ac:dyDescent="0.3">
      <c r="A54" s="82" t="s">
        <v>181</v>
      </c>
      <c r="B54" s="82" t="s">
        <v>177</v>
      </c>
      <c r="C54" s="54"/>
      <c r="D54" s="55"/>
      <c r="E54" s="54"/>
      <c r="F54" s="56"/>
      <c r="G54" s="54"/>
      <c r="H54" s="82" t="s">
        <v>181</v>
      </c>
      <c r="I54" s="57"/>
      <c r="J54" s="57"/>
      <c r="K54" s="69"/>
      <c r="L54" s="63">
        <v>54</v>
      </c>
      <c r="M54" s="63" t="b">
        <f t="shared" si="1"/>
        <v>1</v>
      </c>
      <c r="N54" s="64"/>
    </row>
    <row r="55" spans="1:14" x14ac:dyDescent="0.3">
      <c r="A55" s="82" t="s">
        <v>182</v>
      </c>
      <c r="B55" s="82" t="s">
        <v>177</v>
      </c>
      <c r="C55" s="54"/>
      <c r="D55" s="55"/>
      <c r="E55" s="54"/>
      <c r="F55" s="56"/>
      <c r="G55" s="54"/>
      <c r="H55" s="82" t="s">
        <v>182</v>
      </c>
      <c r="I55" s="57"/>
      <c r="J55" s="57"/>
      <c r="K55" s="69"/>
      <c r="L55" s="63">
        <v>55</v>
      </c>
      <c r="M55" s="63" t="b">
        <f t="shared" si="1"/>
        <v>1</v>
      </c>
      <c r="N55" s="64"/>
    </row>
    <row r="56" spans="1:14" x14ac:dyDescent="0.3">
      <c r="A56" s="82" t="s">
        <v>179</v>
      </c>
      <c r="B56" s="82" t="s">
        <v>178</v>
      </c>
      <c r="C56" s="54"/>
      <c r="D56" s="55"/>
      <c r="E56" s="54"/>
      <c r="F56" s="56"/>
      <c r="G56" s="54"/>
      <c r="H56" s="82" t="s">
        <v>179</v>
      </c>
      <c r="I56" s="57"/>
      <c r="J56" s="57"/>
      <c r="K56" s="69"/>
      <c r="L56" s="63">
        <v>56</v>
      </c>
      <c r="M56" s="63" t="b">
        <f t="shared" si="1"/>
        <v>1</v>
      </c>
      <c r="N56" s="64"/>
    </row>
    <row r="57" spans="1:14" x14ac:dyDescent="0.3">
      <c r="A57" s="82" t="s">
        <v>180</v>
      </c>
      <c r="B57" s="82" t="s">
        <v>178</v>
      </c>
      <c r="C57" s="54"/>
      <c r="D57" s="55"/>
      <c r="E57" s="54"/>
      <c r="F57" s="56"/>
      <c r="G57" s="54"/>
      <c r="H57" s="82" t="s">
        <v>180</v>
      </c>
      <c r="I57" s="57"/>
      <c r="J57" s="57"/>
      <c r="K57" s="69"/>
      <c r="L57" s="63">
        <v>57</v>
      </c>
      <c r="M57" s="63" t="b">
        <f t="shared" si="1"/>
        <v>1</v>
      </c>
      <c r="N57" s="64"/>
    </row>
    <row r="58" spans="1:14" x14ac:dyDescent="0.3">
      <c r="A58" s="82" t="s">
        <v>181</v>
      </c>
      <c r="B58" s="82" t="s">
        <v>178</v>
      </c>
      <c r="C58" s="54"/>
      <c r="D58" s="55"/>
      <c r="E58" s="54"/>
      <c r="F58" s="56"/>
      <c r="G58" s="54"/>
      <c r="H58" s="82" t="s">
        <v>181</v>
      </c>
      <c r="I58" s="57"/>
      <c r="J58" s="57"/>
      <c r="K58" s="69"/>
      <c r="L58" s="63">
        <v>58</v>
      </c>
      <c r="M58" s="63" t="b">
        <f t="shared" si="1"/>
        <v>1</v>
      </c>
      <c r="N58" s="64"/>
    </row>
    <row r="59" spans="1:14" x14ac:dyDescent="0.3">
      <c r="A59" s="82" t="s">
        <v>182</v>
      </c>
      <c r="B59" s="82" t="s">
        <v>178</v>
      </c>
      <c r="C59" s="54"/>
      <c r="D59" s="55"/>
      <c r="E59" s="54"/>
      <c r="F59" s="56"/>
      <c r="G59" s="54"/>
      <c r="H59" s="82" t="s">
        <v>182</v>
      </c>
      <c r="I59" s="57"/>
      <c r="J59" s="57"/>
      <c r="K59" s="69"/>
      <c r="L59" s="63">
        <v>59</v>
      </c>
      <c r="M59" s="63" t="b">
        <f t="shared" si="1"/>
        <v>1</v>
      </c>
      <c r="N59" s="64"/>
    </row>
    <row r="60" spans="1:14" x14ac:dyDescent="0.3">
      <c r="A60" s="82" t="s">
        <v>180</v>
      </c>
      <c r="B60" s="82" t="s">
        <v>179</v>
      </c>
      <c r="C60" s="54"/>
      <c r="D60" s="55"/>
      <c r="E60" s="54"/>
      <c r="F60" s="56"/>
      <c r="G60" s="54"/>
      <c r="H60" s="82" t="s">
        <v>180</v>
      </c>
      <c r="I60" s="57"/>
      <c r="J60" s="57"/>
      <c r="K60" s="69"/>
      <c r="L60" s="63">
        <v>60</v>
      </c>
      <c r="M60" s="63" t="b">
        <f t="shared" si="1"/>
        <v>1</v>
      </c>
      <c r="N60" s="64"/>
    </row>
    <row r="61" spans="1:14" x14ac:dyDescent="0.3">
      <c r="A61" s="82" t="s">
        <v>181</v>
      </c>
      <c r="B61" s="82" t="s">
        <v>179</v>
      </c>
      <c r="C61" s="54"/>
      <c r="D61" s="55"/>
      <c r="E61" s="54"/>
      <c r="F61" s="56"/>
      <c r="G61" s="54"/>
      <c r="H61" s="82" t="s">
        <v>181</v>
      </c>
      <c r="I61" s="57"/>
      <c r="J61" s="57"/>
      <c r="K61" s="69"/>
      <c r="L61" s="63">
        <v>61</v>
      </c>
      <c r="M61" s="63" t="b">
        <f t="shared" si="1"/>
        <v>1</v>
      </c>
      <c r="N61" s="64"/>
    </row>
    <row r="62" spans="1:14" x14ac:dyDescent="0.3">
      <c r="A62" s="82" t="s">
        <v>182</v>
      </c>
      <c r="B62" s="82" t="s">
        <v>179</v>
      </c>
      <c r="C62" s="54"/>
      <c r="D62" s="55"/>
      <c r="E62" s="54"/>
      <c r="F62" s="56"/>
      <c r="G62" s="54"/>
      <c r="H62" s="82" t="s">
        <v>182</v>
      </c>
      <c r="I62" s="57"/>
      <c r="J62" s="57"/>
      <c r="K62" s="69"/>
      <c r="L62" s="63">
        <v>62</v>
      </c>
      <c r="M62" s="63" t="b">
        <f t="shared" si="1"/>
        <v>1</v>
      </c>
      <c r="N62" s="64"/>
    </row>
    <row r="63" spans="1:14" x14ac:dyDescent="0.3">
      <c r="A63" s="82" t="s">
        <v>180</v>
      </c>
      <c r="B63" s="82" t="s">
        <v>181</v>
      </c>
      <c r="C63" s="54"/>
      <c r="D63" s="55"/>
      <c r="E63" s="54"/>
      <c r="F63" s="56"/>
      <c r="G63" s="54"/>
      <c r="H63" s="82" t="s">
        <v>180</v>
      </c>
      <c r="I63" s="57"/>
      <c r="J63" s="57"/>
      <c r="K63" s="69"/>
      <c r="L63" s="63">
        <v>63</v>
      </c>
      <c r="M63" s="63" t="b">
        <f t="shared" si="1"/>
        <v>1</v>
      </c>
      <c r="N63" s="64"/>
    </row>
    <row r="64" spans="1:14" x14ac:dyDescent="0.3">
      <c r="A64" s="82" t="s">
        <v>180</v>
      </c>
      <c r="B64" s="82" t="s">
        <v>182</v>
      </c>
      <c r="C64" s="54"/>
      <c r="D64" s="55"/>
      <c r="E64" s="54"/>
      <c r="F64" s="56"/>
      <c r="G64" s="54"/>
      <c r="H64" s="82" t="s">
        <v>180</v>
      </c>
      <c r="I64" s="57"/>
      <c r="J64" s="57"/>
      <c r="K64" s="69"/>
      <c r="L64" s="63">
        <v>64</v>
      </c>
      <c r="M64" s="63" t="b">
        <f t="shared" si="1"/>
        <v>1</v>
      </c>
      <c r="N64" s="64"/>
    </row>
    <row r="65" spans="1:14" x14ac:dyDescent="0.3">
      <c r="A65" s="82" t="s">
        <v>182</v>
      </c>
      <c r="B65" s="82" t="s">
        <v>181</v>
      </c>
      <c r="C65" s="54"/>
      <c r="D65" s="55"/>
      <c r="E65" s="54"/>
      <c r="F65" s="56"/>
      <c r="G65" s="54"/>
      <c r="H65" s="82" t="s">
        <v>182</v>
      </c>
      <c r="I65" s="57"/>
      <c r="J65" s="57"/>
      <c r="K65" s="69"/>
      <c r="L65" s="63">
        <v>65</v>
      </c>
      <c r="M65" s="63" t="b">
        <f t="shared" si="1"/>
        <v>1</v>
      </c>
      <c r="N65" s="64"/>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65"/>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M65"/>
    <dataValidation allowBlank="1" showErrorMessage="1" sqref="N2:N6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65"/>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65"/>
    <dataValidation allowBlank="1" showInputMessage="1" promptTitle="Edge Color" prompt="To select an optional edge color, right-click and select Select Color on the right-click menu." sqref="C3:C65"/>
    <dataValidation allowBlank="1" showInputMessage="1" errorTitle="Invalid Edge Width" error="The optional edge width must be a whole number between 1 and 10." promptTitle="Edge Width" prompt="Enter an optional edge width between 1 and 10." sqref="D3:D65"/>
    <dataValidation allowBlank="1" showInputMessage="1" errorTitle="Invalid Edge Opacity" error="The optional edge opacity must be a whole number between 0 and 10." promptTitle="Edge Opacity" prompt="Enter an optional edge opacity between 0 (transparent) and 100 (opaque)." sqref="F3:F65"/>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G65">
      <formula1>ValidEdgeVisibilities</formula1>
    </dataValidation>
    <dataValidation allowBlank="1" showInputMessage="1" showErrorMessage="1" promptTitle="Vertex 1 Name" prompt="Enter the name of the edge's first vertex." sqref="A63:A64 A3:A20 A38:A50 B51:B62 B65 H63:H64 H3:H20 H38:H50"/>
    <dataValidation allowBlank="1" showInputMessage="1" showErrorMessage="1" promptTitle="Vertex 2 Name" prompt="Enter the name of the edge's second vertex." sqref="B3:B20 A21:A37 B38:B50 B63:B64 A51:A62 A65 H21:H37 H51:H62 H65"/>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E65">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K65"/>
  </dataValidations>
  <pageMargins left="0.7" right="0.7" top="0.75" bottom="0.75" header="0.3" footer="0.3"/>
  <pageSetup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S48"/>
  <sheetViews>
    <sheetView topLeftCell="A19" workbookViewId="0">
      <selection activeCell="B4" sqref="B4:C48"/>
    </sheetView>
  </sheetViews>
  <sheetFormatPr defaultRowHeight="14.4" x14ac:dyDescent="0.3"/>
  <sheetData>
    <row r="1" spans="1:45" x14ac:dyDescent="0.3">
      <c r="A1">
        <v>-0.81557377049180324</v>
      </c>
      <c r="B1">
        <v>-0.2151639344262295</v>
      </c>
      <c r="C1">
        <v>-0.42213114754098363</v>
      </c>
      <c r="D1">
        <v>-9.0163934426229511E-2</v>
      </c>
      <c r="E1">
        <v>-6.9672131147540978E-2</v>
      </c>
      <c r="F1">
        <v>-4.3032786885245901E-2</v>
      </c>
      <c r="G1">
        <v>-0.21311475409836064</v>
      </c>
      <c r="H1">
        <v>-0.11475409836065574</v>
      </c>
      <c r="I1">
        <v>-0.46106557377049179</v>
      </c>
      <c r="J1">
        <v>-0.2151639344262295</v>
      </c>
      <c r="K1">
        <v>-0.42213114754098363</v>
      </c>
      <c r="L1">
        <v>-9.0163934426229511E-2</v>
      </c>
      <c r="M1">
        <v>-6.9672131147540978E-2</v>
      </c>
      <c r="N1">
        <v>-4.3032786885245901E-2</v>
      </c>
      <c r="O1">
        <v>-0.21311475409836064</v>
      </c>
      <c r="P1">
        <v>-0.11475409836065574</v>
      </c>
      <c r="Q1">
        <v>-0.46106557377049179</v>
      </c>
      <c r="R1">
        <v>3.5778688524590163</v>
      </c>
      <c r="S1">
        <v>3.9098360655737703</v>
      </c>
      <c r="T1">
        <v>3.930327868852459</v>
      </c>
      <c r="U1">
        <v>3.956967213114754</v>
      </c>
      <c r="V1">
        <v>3.7868852459016393</v>
      </c>
      <c r="W1">
        <v>3.8852459016393444</v>
      </c>
      <c r="X1">
        <v>3.5389344262295084</v>
      </c>
      <c r="Y1">
        <v>2.9098360655737703</v>
      </c>
      <c r="Z1">
        <v>2.930327868852459</v>
      </c>
      <c r="AA1">
        <v>2.956967213114754</v>
      </c>
      <c r="AB1">
        <v>2.7868852459016393</v>
      </c>
      <c r="AC1">
        <v>2.8852459016393444</v>
      </c>
      <c r="AD1">
        <v>2.5389344262295084</v>
      </c>
      <c r="AE1">
        <v>-6.9672131147540978E-2</v>
      </c>
      <c r="AF1">
        <v>-4.3032786885245901E-2</v>
      </c>
      <c r="AG1">
        <v>-0.21311475409836064</v>
      </c>
      <c r="AH1">
        <v>-0.11475409836065574</v>
      </c>
      <c r="AI1">
        <v>-0.46106557377049179</v>
      </c>
      <c r="AJ1">
        <v>-4.3032786885245901E-2</v>
      </c>
      <c r="AK1">
        <v>-0.21311475409836064</v>
      </c>
      <c r="AL1">
        <v>-0.11475409836065574</v>
      </c>
      <c r="AM1">
        <v>-0.46106557377049179</v>
      </c>
      <c r="AN1">
        <v>-0.21311475409836064</v>
      </c>
      <c r="AO1">
        <v>-0.11475409836065574</v>
      </c>
      <c r="AP1">
        <v>-0.46106557377049179</v>
      </c>
      <c r="AQ1">
        <v>4.8852459016393439</v>
      </c>
      <c r="AR1">
        <v>4.5389344262295079</v>
      </c>
      <c r="AS1">
        <v>-0.34631147540983609</v>
      </c>
    </row>
    <row r="4" spans="1:45" x14ac:dyDescent="0.3">
      <c r="A4" s="50"/>
      <c r="B4" s="50" t="s">
        <v>174</v>
      </c>
      <c r="C4" t="s">
        <v>173</v>
      </c>
    </row>
    <row r="5" spans="1:45" x14ac:dyDescent="0.3">
      <c r="A5" s="82"/>
      <c r="B5" s="82" t="s">
        <v>175</v>
      </c>
      <c r="C5" t="s">
        <v>173</v>
      </c>
    </row>
    <row r="6" spans="1:45" x14ac:dyDescent="0.3">
      <c r="A6" s="82"/>
      <c r="B6" s="82" t="s">
        <v>176</v>
      </c>
      <c r="C6" t="s">
        <v>173</v>
      </c>
    </row>
    <row r="7" spans="1:45" x14ac:dyDescent="0.3">
      <c r="A7" s="82"/>
      <c r="B7" s="82" t="s">
        <v>177</v>
      </c>
      <c r="C7" t="s">
        <v>173</v>
      </c>
    </row>
    <row r="8" spans="1:45" x14ac:dyDescent="0.3">
      <c r="A8" s="82"/>
      <c r="B8" s="82" t="s">
        <v>178</v>
      </c>
      <c r="C8" t="s">
        <v>173</v>
      </c>
    </row>
    <row r="9" spans="1:45" x14ac:dyDescent="0.3">
      <c r="A9" s="82"/>
      <c r="B9" s="82" t="s">
        <v>179</v>
      </c>
      <c r="C9" t="s">
        <v>173</v>
      </c>
    </row>
    <row r="10" spans="1:45" x14ac:dyDescent="0.3">
      <c r="A10" s="82"/>
      <c r="B10" s="82" t="s">
        <v>180</v>
      </c>
      <c r="C10" t="s">
        <v>173</v>
      </c>
    </row>
    <row r="11" spans="1:45" x14ac:dyDescent="0.3">
      <c r="A11" s="82"/>
      <c r="B11" s="82" t="s">
        <v>181</v>
      </c>
      <c r="C11" t="s">
        <v>173</v>
      </c>
    </row>
    <row r="12" spans="1:45" x14ac:dyDescent="0.3">
      <c r="A12" s="82"/>
      <c r="B12" s="82" t="s">
        <v>182</v>
      </c>
      <c r="C12" t="s">
        <v>173</v>
      </c>
    </row>
    <row r="13" spans="1:45" x14ac:dyDescent="0.3">
      <c r="A13" s="82"/>
      <c r="B13" s="82" t="s">
        <v>175</v>
      </c>
      <c r="C13" t="s">
        <v>174</v>
      </c>
    </row>
    <row r="14" spans="1:45" x14ac:dyDescent="0.3">
      <c r="A14" s="82"/>
      <c r="B14" s="82" t="s">
        <v>176</v>
      </c>
      <c r="C14" t="s">
        <v>174</v>
      </c>
    </row>
    <row r="15" spans="1:45" x14ac:dyDescent="0.3">
      <c r="A15" s="82"/>
      <c r="B15" s="82" t="s">
        <v>177</v>
      </c>
      <c r="C15" t="s">
        <v>174</v>
      </c>
    </row>
    <row r="16" spans="1:45" x14ac:dyDescent="0.3">
      <c r="A16" s="82"/>
      <c r="B16" s="82" t="s">
        <v>178</v>
      </c>
      <c r="C16" t="s">
        <v>174</v>
      </c>
    </row>
    <row r="17" spans="1:3" x14ac:dyDescent="0.3">
      <c r="A17" s="82"/>
      <c r="B17" s="82" t="s">
        <v>179</v>
      </c>
      <c r="C17" t="s">
        <v>174</v>
      </c>
    </row>
    <row r="18" spans="1:3" x14ac:dyDescent="0.3">
      <c r="A18" s="82"/>
      <c r="B18" s="82" t="s">
        <v>180</v>
      </c>
      <c r="C18" t="s">
        <v>174</v>
      </c>
    </row>
    <row r="19" spans="1:3" x14ac:dyDescent="0.3">
      <c r="A19" s="82"/>
      <c r="B19" s="82" t="s">
        <v>181</v>
      </c>
      <c r="C19" t="s">
        <v>174</v>
      </c>
    </row>
    <row r="20" spans="1:3" x14ac:dyDescent="0.3">
      <c r="A20" s="82"/>
      <c r="B20" s="82" t="s">
        <v>182</v>
      </c>
      <c r="C20" t="s">
        <v>174</v>
      </c>
    </row>
    <row r="21" spans="1:3" x14ac:dyDescent="0.3">
      <c r="B21" s="82" t="s">
        <v>175</v>
      </c>
      <c r="C21" s="82" t="s">
        <v>176</v>
      </c>
    </row>
    <row r="22" spans="1:3" x14ac:dyDescent="0.3">
      <c r="B22" s="82" t="s">
        <v>175</v>
      </c>
      <c r="C22" s="82" t="s">
        <v>177</v>
      </c>
    </row>
    <row r="23" spans="1:3" x14ac:dyDescent="0.3">
      <c r="B23" s="82" t="s">
        <v>175</v>
      </c>
      <c r="C23" s="82" t="s">
        <v>178</v>
      </c>
    </row>
    <row r="24" spans="1:3" x14ac:dyDescent="0.3">
      <c r="B24" s="82" t="s">
        <v>175</v>
      </c>
      <c r="C24" s="82" t="s">
        <v>179</v>
      </c>
    </row>
    <row r="25" spans="1:3" x14ac:dyDescent="0.3">
      <c r="B25" s="82" t="s">
        <v>175</v>
      </c>
      <c r="C25" s="82" t="s">
        <v>180</v>
      </c>
    </row>
    <row r="26" spans="1:3" x14ac:dyDescent="0.3">
      <c r="B26" s="82" t="s">
        <v>175</v>
      </c>
      <c r="C26" s="82" t="s">
        <v>181</v>
      </c>
    </row>
    <row r="27" spans="1:3" x14ac:dyDescent="0.3">
      <c r="B27" s="82" t="s">
        <v>175</v>
      </c>
      <c r="C27" s="82" t="s">
        <v>182</v>
      </c>
    </row>
    <row r="28" spans="1:3" x14ac:dyDescent="0.3">
      <c r="B28" s="82" t="s">
        <v>176</v>
      </c>
      <c r="C28" s="82" t="s">
        <v>177</v>
      </c>
    </row>
    <row r="29" spans="1:3" x14ac:dyDescent="0.3">
      <c r="B29" s="82" t="s">
        <v>176</v>
      </c>
      <c r="C29" s="82" t="s">
        <v>178</v>
      </c>
    </row>
    <row r="30" spans="1:3" x14ac:dyDescent="0.3">
      <c r="B30" s="82" t="s">
        <v>176</v>
      </c>
      <c r="C30" s="82" t="s">
        <v>179</v>
      </c>
    </row>
    <row r="31" spans="1:3" x14ac:dyDescent="0.3">
      <c r="B31" s="82" t="s">
        <v>176</v>
      </c>
      <c r="C31" s="82" t="s">
        <v>180</v>
      </c>
    </row>
    <row r="32" spans="1:3" x14ac:dyDescent="0.3">
      <c r="B32" s="82" t="s">
        <v>176</v>
      </c>
      <c r="C32" s="82" t="s">
        <v>181</v>
      </c>
    </row>
    <row r="33" spans="2:3" x14ac:dyDescent="0.3">
      <c r="B33" s="82" t="s">
        <v>176</v>
      </c>
      <c r="C33" s="82" t="s">
        <v>182</v>
      </c>
    </row>
    <row r="34" spans="2:3" x14ac:dyDescent="0.3">
      <c r="B34" s="82" t="s">
        <v>178</v>
      </c>
      <c r="C34" s="82" t="s">
        <v>177</v>
      </c>
    </row>
    <row r="35" spans="2:3" x14ac:dyDescent="0.3">
      <c r="B35" s="82" t="s">
        <v>179</v>
      </c>
      <c r="C35" s="82" t="s">
        <v>177</v>
      </c>
    </row>
    <row r="36" spans="2:3" x14ac:dyDescent="0.3">
      <c r="B36" s="82" t="s">
        <v>180</v>
      </c>
      <c r="C36" s="82" t="s">
        <v>177</v>
      </c>
    </row>
    <row r="37" spans="2:3" x14ac:dyDescent="0.3">
      <c r="B37" s="82" t="s">
        <v>181</v>
      </c>
      <c r="C37" s="82" t="s">
        <v>177</v>
      </c>
    </row>
    <row r="38" spans="2:3" x14ac:dyDescent="0.3">
      <c r="B38" s="82" t="s">
        <v>182</v>
      </c>
      <c r="C38" s="82" t="s">
        <v>177</v>
      </c>
    </row>
    <row r="39" spans="2:3" x14ac:dyDescent="0.3">
      <c r="B39" s="82" t="s">
        <v>179</v>
      </c>
      <c r="C39" s="82" t="s">
        <v>178</v>
      </c>
    </row>
    <row r="40" spans="2:3" x14ac:dyDescent="0.3">
      <c r="B40" s="82" t="s">
        <v>180</v>
      </c>
      <c r="C40" s="82" t="s">
        <v>178</v>
      </c>
    </row>
    <row r="41" spans="2:3" x14ac:dyDescent="0.3">
      <c r="B41" s="82" t="s">
        <v>181</v>
      </c>
      <c r="C41" s="82" t="s">
        <v>178</v>
      </c>
    </row>
    <row r="42" spans="2:3" x14ac:dyDescent="0.3">
      <c r="B42" s="82" t="s">
        <v>182</v>
      </c>
      <c r="C42" s="82" t="s">
        <v>178</v>
      </c>
    </row>
    <row r="43" spans="2:3" x14ac:dyDescent="0.3">
      <c r="B43" s="82" t="s">
        <v>180</v>
      </c>
      <c r="C43" s="82" t="s">
        <v>179</v>
      </c>
    </row>
    <row r="44" spans="2:3" x14ac:dyDescent="0.3">
      <c r="B44" s="82" t="s">
        <v>181</v>
      </c>
      <c r="C44" s="82" t="s">
        <v>179</v>
      </c>
    </row>
    <row r="45" spans="2:3" x14ac:dyDescent="0.3">
      <c r="B45" s="82" t="s">
        <v>182</v>
      </c>
      <c r="C45" s="82" t="s">
        <v>179</v>
      </c>
    </row>
    <row r="46" spans="2:3" x14ac:dyDescent="0.3">
      <c r="B46" s="82" t="s">
        <v>180</v>
      </c>
      <c r="C46" s="82" t="s">
        <v>181</v>
      </c>
    </row>
    <row r="47" spans="2:3" x14ac:dyDescent="0.3">
      <c r="B47" s="82" t="s">
        <v>180</v>
      </c>
      <c r="C47" s="82" t="s">
        <v>182</v>
      </c>
    </row>
    <row r="48" spans="2:3" x14ac:dyDescent="0.3">
      <c r="B48" s="82" t="s">
        <v>182</v>
      </c>
      <c r="C48" s="82" t="s">
        <v>181</v>
      </c>
    </row>
  </sheetData>
  <dataValidations count="2">
    <dataValidation allowBlank="1" showInputMessage="1" showErrorMessage="1" promptTitle="Vertex 2 Name" prompt="Enter the name of the edge's second vertex." sqref="B4:B20 C21:C33 C46:C47 B34:B45 B48"/>
    <dataValidation allowBlank="1" showInputMessage="1" showErrorMessage="1" promptTitle="Vertex 1 Name" prompt="Enter the name of the edge's first vertex." sqref="A4:A20 B21:B33 C34:C42 C48 B46:B47 C43:C45"/>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12"/>
  <sheetViews>
    <sheetView workbookViewId="0">
      <pane xSplit="1" ySplit="2" topLeftCell="B3" activePane="bottomRight" state="frozen"/>
      <selection pane="topRight" activeCell="B1" sqref="B1"/>
      <selection pane="bottomLeft" activeCell="A3" sqref="A3"/>
      <selection pane="bottomRight" activeCell="A2" sqref="A2:AD2"/>
    </sheetView>
  </sheetViews>
  <sheetFormatPr defaultRowHeight="14.4" x14ac:dyDescent="0.3"/>
  <cols>
    <col min="1" max="1" width="9.109375" style="1"/>
    <col min="2" max="2" width="7.88671875" customWidth="1"/>
    <col min="3" max="3" width="8.5546875" customWidth="1"/>
    <col min="4" max="4" width="6.6640625" customWidth="1"/>
    <col min="5" max="5" width="9.88671875" customWidth="1"/>
    <col min="6" max="6" width="7.6640625" customWidth="1"/>
    <col min="7" max="7" width="11" customWidth="1"/>
    <col min="8" max="8" width="8.5546875" customWidth="1"/>
    <col min="9" max="9" width="9.6640625" customWidth="1"/>
    <col min="10" max="10" width="10.5546875" style="3" customWidth="1"/>
    <col min="11" max="11" width="9.109375" customWidth="1"/>
    <col min="12" max="12" width="9.109375" hidden="1" customWidth="1"/>
    <col min="13" max="14" width="4.33203125" hidden="1" customWidth="1"/>
    <col min="15" max="15" width="10.33203125" hidden="1" customWidth="1"/>
    <col min="16" max="16" width="6.44140625" hidden="1" customWidth="1"/>
    <col min="17" max="17" width="8.33203125" hidden="1" customWidth="1"/>
    <col min="18" max="18" width="9.5546875" hidden="1" customWidth="1"/>
    <col min="19" max="19" width="9.33203125" hidden="1" customWidth="1"/>
    <col min="20" max="20" width="9.5546875" hidden="1" customWidth="1"/>
    <col min="21" max="23" width="14.33203125" hidden="1" customWidth="1"/>
    <col min="24" max="24" width="11.88671875" hidden="1" customWidth="1"/>
    <col min="25" max="25" width="14.44140625" hidden="1" customWidth="1"/>
    <col min="26" max="26" width="18.33203125" hidden="1" customWidth="1"/>
    <col min="27" max="27" width="5" style="3" hidden="1" customWidth="1"/>
    <col min="28" max="28" width="16" style="3" hidden="1" customWidth="1"/>
    <col min="29" max="29" width="16" style="6" bestFit="1" customWidth="1"/>
    <col min="30" max="30" width="10.33203125" style="2" bestFit="1" customWidth="1"/>
    <col min="31" max="32" width="14.33203125" style="3" customWidth="1"/>
    <col min="33" max="33" width="11.88671875" style="3" customWidth="1"/>
    <col min="34" max="34" width="14.44140625" style="3" customWidth="1"/>
    <col min="35" max="35" width="5" customWidth="1"/>
    <col min="36" max="36" width="16" customWidth="1"/>
    <col min="37" max="37" width="16" bestFit="1" customWidth="1"/>
    <col min="38" max="39" width="9.109375" customWidth="1"/>
  </cols>
  <sheetData>
    <row r="1" spans="1:35" x14ac:dyDescent="0.3">
      <c r="B1" s="25" t="s">
        <v>39</v>
      </c>
      <c r="C1" s="18"/>
      <c r="D1" s="18"/>
      <c r="E1" s="18"/>
      <c r="F1" s="18"/>
      <c r="G1" s="18"/>
      <c r="H1" s="27" t="s">
        <v>43</v>
      </c>
      <c r="I1" s="26"/>
      <c r="J1" s="26"/>
      <c r="K1" s="26"/>
      <c r="L1" s="29" t="s">
        <v>44</v>
      </c>
      <c r="M1" s="28"/>
      <c r="N1" s="28"/>
      <c r="O1" s="28"/>
      <c r="P1" s="28"/>
      <c r="Q1" s="28"/>
      <c r="R1" s="24" t="s">
        <v>42</v>
      </c>
      <c r="S1" s="21"/>
      <c r="T1" s="22"/>
      <c r="U1" s="23"/>
      <c r="V1" s="21"/>
      <c r="W1" s="21"/>
      <c r="X1" s="21"/>
      <c r="Y1" s="21"/>
      <c r="Z1" s="21"/>
      <c r="AA1" s="30" t="s">
        <v>40</v>
      </c>
      <c r="AB1" s="20"/>
      <c r="AC1" s="31" t="s">
        <v>41</v>
      </c>
      <c r="AD1"/>
      <c r="AE1"/>
      <c r="AF1"/>
      <c r="AG1"/>
      <c r="AH1"/>
    </row>
    <row r="2" spans="1:35" ht="30" customHeight="1" x14ac:dyDescent="0.3">
      <c r="A2" s="11" t="s">
        <v>5</v>
      </c>
      <c r="B2" s="8" t="s">
        <v>2</v>
      </c>
      <c r="C2" s="8" t="s">
        <v>8</v>
      </c>
      <c r="D2" s="9" t="s">
        <v>45</v>
      </c>
      <c r="E2" s="10" t="s">
        <v>4</v>
      </c>
      <c r="F2" s="8" t="s">
        <v>48</v>
      </c>
      <c r="G2" s="8" t="s">
        <v>11</v>
      </c>
      <c r="H2" s="8" t="s">
        <v>46</v>
      </c>
      <c r="I2" s="8" t="s">
        <v>47</v>
      </c>
      <c r="J2" s="8" t="s">
        <v>77</v>
      </c>
      <c r="K2" s="8" t="s">
        <v>10</v>
      </c>
      <c r="L2" s="8" t="s">
        <v>27</v>
      </c>
      <c r="M2" s="8" t="s">
        <v>15</v>
      </c>
      <c r="N2" s="8" t="s">
        <v>16</v>
      </c>
      <c r="O2" s="8" t="s">
        <v>13</v>
      </c>
      <c r="P2" s="8" t="s">
        <v>28</v>
      </c>
      <c r="Q2" s="8" t="s">
        <v>29</v>
      </c>
      <c r="R2" s="13" t="s">
        <v>31</v>
      </c>
      <c r="S2" s="13" t="s">
        <v>32</v>
      </c>
      <c r="T2" s="13" t="s">
        <v>33</v>
      </c>
      <c r="U2" s="13" t="s">
        <v>34</v>
      </c>
      <c r="V2" s="13" t="s">
        <v>35</v>
      </c>
      <c r="W2" s="13" t="s">
        <v>36</v>
      </c>
      <c r="X2" s="13" t="s">
        <v>136</v>
      </c>
      <c r="Y2" s="13" t="s">
        <v>37</v>
      </c>
      <c r="Z2" s="13" t="s">
        <v>169</v>
      </c>
      <c r="AA2" s="11" t="s">
        <v>12</v>
      </c>
      <c r="AB2" s="11" t="s">
        <v>38</v>
      </c>
      <c r="AC2" s="8" t="s">
        <v>26</v>
      </c>
      <c r="AD2" t="s">
        <v>186</v>
      </c>
      <c r="AG2"/>
      <c r="AH2"/>
    </row>
    <row r="3" spans="1:35" ht="15" customHeight="1" x14ac:dyDescent="0.3">
      <c r="A3" s="50" t="s">
        <v>173</v>
      </c>
      <c r="B3" s="54"/>
      <c r="C3" s="54"/>
      <c r="D3" s="55"/>
      <c r="E3" s="56"/>
      <c r="F3" s="54"/>
      <c r="G3" s="54"/>
      <c r="H3" s="58" t="s">
        <v>187</v>
      </c>
      <c r="I3" s="57"/>
      <c r="J3" s="57"/>
      <c r="K3" s="58"/>
      <c r="L3" s="60"/>
      <c r="M3" s="61">
        <v>4920.48291015625</v>
      </c>
      <c r="N3" s="61">
        <v>7114.11474609375</v>
      </c>
      <c r="O3" s="59"/>
      <c r="P3" s="62"/>
      <c r="Q3" s="62"/>
      <c r="R3" s="51"/>
      <c r="S3" s="51"/>
      <c r="T3" s="51"/>
      <c r="U3" s="51"/>
      <c r="V3" s="52"/>
      <c r="W3" s="52"/>
      <c r="X3" s="53"/>
      <c r="Y3" s="52"/>
      <c r="Z3" s="52"/>
      <c r="AA3" s="63">
        <v>3</v>
      </c>
      <c r="AB3" s="63" t="b">
        <f xml:space="preserve"> IF(AND(OR(NOT(ISNUMBER(Vertices[X])), Vertices[X] &gt;= Misc!$O$2), OR(NOT(ISNUMBER(Vertices[X])), Vertices[X] &lt;= Misc!$P$2),OR(NOT(ISNUMBER(Vertices[Y])), Vertices[Y] &gt;= Misc!$O$3), OR(NOT(ISNUMBER(Vertices[Y])), Vertices[Y] &lt;= Misc!$P$3),TRUE), TRUE, FALSE)</f>
        <v>1</v>
      </c>
      <c r="AC3" s="64"/>
      <c r="AD3"/>
      <c r="AG3"/>
      <c r="AH3"/>
    </row>
    <row r="4" spans="1:35" x14ac:dyDescent="0.3">
      <c r="A4" s="14" t="s">
        <v>174</v>
      </c>
      <c r="B4" s="15"/>
      <c r="C4" s="15"/>
      <c r="D4" s="90"/>
      <c r="E4" s="80"/>
      <c r="F4" s="15"/>
      <c r="G4" s="15"/>
      <c r="H4" s="16" t="s">
        <v>187</v>
      </c>
      <c r="I4" s="68"/>
      <c r="J4" s="68"/>
      <c r="K4" s="16"/>
      <c r="L4" s="91"/>
      <c r="M4" s="92">
        <v>5365.49462890625</v>
      </c>
      <c r="N4" s="92">
        <v>4064.264892578125</v>
      </c>
      <c r="O4" s="79"/>
      <c r="P4" s="93"/>
      <c r="Q4" s="93"/>
      <c r="R4" s="94"/>
      <c r="S4" s="94"/>
      <c r="T4" s="94"/>
      <c r="U4" s="94"/>
      <c r="V4" s="95"/>
      <c r="W4" s="95"/>
      <c r="X4" s="95"/>
      <c r="Y4" s="95"/>
      <c r="Z4" s="52"/>
      <c r="AA4" s="81">
        <v>4</v>
      </c>
      <c r="AB4" s="81" t="b">
        <f xml:space="preserve"> IF(AND(OR(NOT(ISNUMBER(Vertices[X])), Vertices[X] &gt;= Misc!$O$2), OR(NOT(ISNUMBER(Vertices[X])), Vertices[X] &lt;= Misc!$P$2),OR(NOT(ISNUMBER(Vertices[Y])), Vertices[Y] &gt;= Misc!$O$3), OR(NOT(ISNUMBER(Vertices[Y])), Vertices[Y] &lt;= Misc!$P$3),TRUE), TRUE, FALSE)</f>
        <v>1</v>
      </c>
      <c r="AC4" s="96"/>
      <c r="AD4"/>
      <c r="AE4" s="2"/>
      <c r="AI4" s="3"/>
    </row>
    <row r="5" spans="1:35" x14ac:dyDescent="0.3">
      <c r="A5" s="14" t="s">
        <v>175</v>
      </c>
      <c r="B5" s="15"/>
      <c r="C5" s="15"/>
      <c r="D5" s="90"/>
      <c r="E5" s="80"/>
      <c r="F5" s="15"/>
      <c r="G5" s="15"/>
      <c r="H5" s="16" t="s">
        <v>187</v>
      </c>
      <c r="I5" s="68"/>
      <c r="J5" s="68"/>
      <c r="K5" s="16"/>
      <c r="L5" s="91"/>
      <c r="M5" s="92">
        <v>7353.12890625</v>
      </c>
      <c r="N5" s="92">
        <v>9736.904296875</v>
      </c>
      <c r="O5" s="79"/>
      <c r="P5" s="93"/>
      <c r="Q5" s="93"/>
      <c r="R5" s="94"/>
      <c r="S5" s="94"/>
      <c r="T5" s="94"/>
      <c r="U5" s="94"/>
      <c r="V5" s="95"/>
      <c r="W5" s="95"/>
      <c r="X5" s="95"/>
      <c r="Y5" s="95"/>
      <c r="Z5" s="52"/>
      <c r="AA5" s="81">
        <v>5</v>
      </c>
      <c r="AB5" s="81" t="b">
        <f xml:space="preserve"> IF(AND(OR(NOT(ISNUMBER(Vertices[X])), Vertices[X] &gt;= Misc!$O$2), OR(NOT(ISNUMBER(Vertices[X])), Vertices[X] &lt;= Misc!$P$2),OR(NOT(ISNUMBER(Vertices[Y])), Vertices[Y] &gt;= Misc!$O$3), OR(NOT(ISNUMBER(Vertices[Y])), Vertices[Y] &lt;= Misc!$P$3),TRUE), TRUE, FALSE)</f>
        <v>1</v>
      </c>
      <c r="AC5" s="96"/>
      <c r="AD5"/>
      <c r="AE5" s="2"/>
      <c r="AI5" s="3"/>
    </row>
    <row r="6" spans="1:35" x14ac:dyDescent="0.3">
      <c r="A6" s="14" t="s">
        <v>176</v>
      </c>
      <c r="B6" s="15"/>
      <c r="C6" s="15"/>
      <c r="D6" s="90"/>
      <c r="E6" s="80"/>
      <c r="F6" s="15"/>
      <c r="G6" s="15"/>
      <c r="H6" s="16"/>
      <c r="I6" s="68"/>
      <c r="J6" s="68"/>
      <c r="K6" s="16"/>
      <c r="L6" s="91"/>
      <c r="M6" s="92">
        <v>6559.9814453125</v>
      </c>
      <c r="N6" s="92">
        <v>267.4344482421875</v>
      </c>
      <c r="O6" s="79"/>
      <c r="P6" s="93"/>
      <c r="Q6" s="93"/>
      <c r="R6" s="94"/>
      <c r="S6" s="94"/>
      <c r="T6" s="94"/>
      <c r="U6" s="94"/>
      <c r="V6" s="95"/>
      <c r="W6" s="95"/>
      <c r="X6" s="95"/>
      <c r="Y6" s="95"/>
      <c r="Z6" s="52"/>
      <c r="AA6" s="81">
        <v>6</v>
      </c>
      <c r="AB6" s="81" t="b">
        <f xml:space="preserve"> IF(AND(OR(NOT(ISNUMBER(Vertices[X])), Vertices[X] &gt;= Misc!$O$2), OR(NOT(ISNUMBER(Vertices[X])), Vertices[X] &lt;= Misc!$P$2),OR(NOT(ISNUMBER(Vertices[Y])), Vertices[Y] &gt;= Misc!$O$3), OR(NOT(ISNUMBER(Vertices[Y])), Vertices[Y] &lt;= Misc!$P$3),TRUE), TRUE, FALSE)</f>
        <v>1</v>
      </c>
      <c r="AC6" s="96"/>
      <c r="AD6"/>
      <c r="AE6" s="2"/>
      <c r="AI6" s="3"/>
    </row>
    <row r="7" spans="1:35" x14ac:dyDescent="0.3">
      <c r="A7" s="14" t="s">
        <v>177</v>
      </c>
      <c r="B7" s="15"/>
      <c r="C7" s="15"/>
      <c r="D7" s="90"/>
      <c r="E7" s="80"/>
      <c r="F7" s="15"/>
      <c r="G7" s="15"/>
      <c r="H7" s="16"/>
      <c r="I7" s="68"/>
      <c r="J7" s="68"/>
      <c r="K7" s="16"/>
      <c r="L7" s="91"/>
      <c r="M7" s="92">
        <v>126.90414428710937</v>
      </c>
      <c r="N7" s="92">
        <v>3034.31787109375</v>
      </c>
      <c r="O7" s="79"/>
      <c r="P7" s="93"/>
      <c r="Q7" s="93"/>
      <c r="R7" s="94"/>
      <c r="S7" s="94"/>
      <c r="T7" s="94"/>
      <c r="U7" s="94"/>
      <c r="V7" s="95"/>
      <c r="W7" s="95"/>
      <c r="X7" s="95"/>
      <c r="Y7" s="95"/>
      <c r="Z7" s="52"/>
      <c r="AA7" s="81">
        <v>7</v>
      </c>
      <c r="AB7" s="81" t="b">
        <f xml:space="preserve"> IF(AND(OR(NOT(ISNUMBER(Vertices[X])), Vertices[X] &gt;= Misc!$O$2), OR(NOT(ISNUMBER(Vertices[X])), Vertices[X] &lt;= Misc!$P$2),OR(NOT(ISNUMBER(Vertices[Y])), Vertices[Y] &gt;= Misc!$O$3), OR(NOT(ISNUMBER(Vertices[Y])), Vertices[Y] &lt;= Misc!$P$3),TRUE), TRUE, FALSE)</f>
        <v>1</v>
      </c>
      <c r="AC7" s="96"/>
      <c r="AD7"/>
      <c r="AE7" s="2"/>
      <c r="AI7" s="3"/>
    </row>
    <row r="8" spans="1:35" x14ac:dyDescent="0.3">
      <c r="A8" s="14" t="s">
        <v>178</v>
      </c>
      <c r="B8" s="15"/>
      <c r="C8" s="15"/>
      <c r="D8" s="90"/>
      <c r="E8" s="80"/>
      <c r="F8" s="15"/>
      <c r="G8" s="15"/>
      <c r="H8" s="16"/>
      <c r="I8" s="68"/>
      <c r="J8" s="68"/>
      <c r="K8" s="16"/>
      <c r="L8" s="91"/>
      <c r="M8" s="92">
        <v>1702.5936279296875</v>
      </c>
      <c r="N8" s="92">
        <v>9825.75</v>
      </c>
      <c r="O8" s="79"/>
      <c r="P8" s="93"/>
      <c r="Q8" s="93"/>
      <c r="R8" s="94"/>
      <c r="S8" s="94"/>
      <c r="T8" s="94"/>
      <c r="U8" s="94"/>
      <c r="V8" s="95"/>
      <c r="W8" s="95"/>
      <c r="X8" s="95"/>
      <c r="Y8" s="95"/>
      <c r="Z8" s="52"/>
      <c r="AA8" s="81">
        <v>8</v>
      </c>
      <c r="AB8" s="81" t="b">
        <f xml:space="preserve"> IF(AND(OR(NOT(ISNUMBER(Vertices[X])), Vertices[X] &gt;= Misc!$O$2), OR(NOT(ISNUMBER(Vertices[X])), Vertices[X] &lt;= Misc!$P$2),OR(NOT(ISNUMBER(Vertices[Y])), Vertices[Y] &gt;= Misc!$O$3), OR(NOT(ISNUMBER(Vertices[Y])), Vertices[Y] &lt;= Misc!$P$3),TRUE), TRUE, FALSE)</f>
        <v>1</v>
      </c>
      <c r="AC8" s="96"/>
      <c r="AD8"/>
      <c r="AE8" s="2"/>
      <c r="AI8" s="3"/>
    </row>
    <row r="9" spans="1:35" x14ac:dyDescent="0.3">
      <c r="A9" s="14" t="s">
        <v>179</v>
      </c>
      <c r="B9" s="15"/>
      <c r="C9" s="15"/>
      <c r="D9" s="90"/>
      <c r="E9" s="80"/>
      <c r="F9" s="15"/>
      <c r="G9" s="15"/>
      <c r="H9" s="16"/>
      <c r="I9" s="68"/>
      <c r="J9" s="68"/>
      <c r="K9" s="16"/>
      <c r="L9" s="91"/>
      <c r="M9" s="92">
        <v>2754.69384765625</v>
      </c>
      <c r="N9" s="92">
        <v>169.42622375488281</v>
      </c>
      <c r="O9" s="79"/>
      <c r="P9" s="93"/>
      <c r="Q9" s="93"/>
      <c r="R9" s="94"/>
      <c r="S9" s="94"/>
      <c r="T9" s="94"/>
      <c r="U9" s="94"/>
      <c r="V9" s="95"/>
      <c r="W9" s="95"/>
      <c r="X9" s="95"/>
      <c r="Y9" s="95"/>
      <c r="Z9" s="52"/>
      <c r="AA9" s="81">
        <v>9</v>
      </c>
      <c r="AB9" s="81" t="b">
        <f xml:space="preserve"> IF(AND(OR(NOT(ISNUMBER(Vertices[X])), Vertices[X] &gt;= Misc!$O$2), OR(NOT(ISNUMBER(Vertices[X])), Vertices[X] &lt;= Misc!$P$2),OR(NOT(ISNUMBER(Vertices[Y])), Vertices[Y] &gt;= Misc!$O$3), OR(NOT(ISNUMBER(Vertices[Y])), Vertices[Y] &lt;= Misc!$P$3),TRUE), TRUE, FALSE)</f>
        <v>1</v>
      </c>
      <c r="AC9" s="96"/>
      <c r="AD9"/>
      <c r="AE9" s="2"/>
      <c r="AI9" s="3"/>
    </row>
    <row r="10" spans="1:35" x14ac:dyDescent="0.3">
      <c r="A10" s="14" t="s">
        <v>180</v>
      </c>
      <c r="B10" s="15"/>
      <c r="C10" s="15"/>
      <c r="D10" s="90"/>
      <c r="E10" s="80"/>
      <c r="F10" s="15"/>
      <c r="G10" s="15"/>
      <c r="H10" s="16" t="s">
        <v>187</v>
      </c>
      <c r="I10" s="68"/>
      <c r="J10" s="68"/>
      <c r="K10" s="16"/>
      <c r="L10" s="91"/>
      <c r="M10" s="92">
        <v>9877.697265625</v>
      </c>
      <c r="N10" s="92">
        <v>6713.0927734375</v>
      </c>
      <c r="O10" s="79"/>
      <c r="P10" s="93"/>
      <c r="Q10" s="93"/>
      <c r="R10" s="94"/>
      <c r="S10" s="94"/>
      <c r="T10" s="94"/>
      <c r="U10" s="94"/>
      <c r="V10" s="95"/>
      <c r="W10" s="95"/>
      <c r="X10" s="95"/>
      <c r="Y10" s="95"/>
      <c r="Z10" s="52"/>
      <c r="AA10" s="81">
        <v>10</v>
      </c>
      <c r="AB10" s="81" t="b">
        <f xml:space="preserve"> IF(AND(OR(NOT(ISNUMBER(Vertices[X])), Vertices[X] &gt;= Misc!$O$2), OR(NOT(ISNUMBER(Vertices[X])), Vertices[X] &lt;= Misc!$P$2),OR(NOT(ISNUMBER(Vertices[Y])), Vertices[Y] &gt;= Misc!$O$3), OR(NOT(ISNUMBER(Vertices[Y])), Vertices[Y] &lt;= Misc!$P$3),TRUE), TRUE, FALSE)</f>
        <v>1</v>
      </c>
      <c r="AC10" s="96"/>
      <c r="AD10"/>
      <c r="AE10" s="2"/>
      <c r="AI10" s="3"/>
    </row>
    <row r="11" spans="1:35" x14ac:dyDescent="0.3">
      <c r="A11" s="14" t="s">
        <v>181</v>
      </c>
      <c r="B11" s="15"/>
      <c r="C11" s="15"/>
      <c r="D11" s="90"/>
      <c r="E11" s="80"/>
      <c r="F11" s="15"/>
      <c r="G11" s="15"/>
      <c r="H11" s="16" t="s">
        <v>187</v>
      </c>
      <c r="I11" s="68"/>
      <c r="J11" s="68"/>
      <c r="K11" s="16"/>
      <c r="L11" s="91"/>
      <c r="M11" s="92">
        <v>1309.092529296875</v>
      </c>
      <c r="N11" s="92">
        <v>6358.96484375</v>
      </c>
      <c r="O11" s="79"/>
      <c r="P11" s="93"/>
      <c r="Q11" s="93"/>
      <c r="R11" s="94"/>
      <c r="S11" s="94"/>
      <c r="T11" s="94"/>
      <c r="U11" s="94"/>
      <c r="V11" s="95"/>
      <c r="W11" s="95"/>
      <c r="X11" s="95"/>
      <c r="Y11" s="95"/>
      <c r="Z11" s="52"/>
      <c r="AA11" s="81">
        <v>11</v>
      </c>
      <c r="AB11" s="81" t="b">
        <f xml:space="preserve"> IF(AND(OR(NOT(ISNUMBER(Vertices[X])), Vertices[X] &gt;= Misc!$O$2), OR(NOT(ISNUMBER(Vertices[X])), Vertices[X] &lt;= Misc!$P$2),OR(NOT(ISNUMBER(Vertices[Y])), Vertices[Y] &gt;= Misc!$O$3), OR(NOT(ISNUMBER(Vertices[Y])), Vertices[Y] &lt;= Misc!$P$3),TRUE), TRUE, FALSE)</f>
        <v>1</v>
      </c>
      <c r="AC11" s="96"/>
      <c r="AD11"/>
      <c r="AE11" s="2"/>
      <c r="AI11" s="3"/>
    </row>
    <row r="12" spans="1:35" x14ac:dyDescent="0.3">
      <c r="A12" s="97" t="s">
        <v>182</v>
      </c>
      <c r="B12" s="98"/>
      <c r="C12" s="98"/>
      <c r="D12" s="99"/>
      <c r="E12" s="100"/>
      <c r="F12" s="98"/>
      <c r="G12" s="98"/>
      <c r="H12" s="101" t="s">
        <v>187</v>
      </c>
      <c r="I12" s="102"/>
      <c r="J12" s="102"/>
      <c r="K12" s="101"/>
      <c r="L12" s="103"/>
      <c r="M12" s="104">
        <v>9407.212890625</v>
      </c>
      <c r="N12" s="104">
        <v>2471.592041015625</v>
      </c>
      <c r="O12" s="105"/>
      <c r="P12" s="106"/>
      <c r="Q12" s="106"/>
      <c r="R12" s="107"/>
      <c r="S12" s="107"/>
      <c r="T12" s="107"/>
      <c r="U12" s="107"/>
      <c r="V12" s="108"/>
      <c r="W12" s="108"/>
      <c r="X12" s="108"/>
      <c r="Y12" s="108"/>
      <c r="Z12" s="109"/>
      <c r="AA12" s="110">
        <v>12</v>
      </c>
      <c r="AB12" s="110" t="b">
        <f xml:space="preserve"> IF(AND(OR(NOT(ISNUMBER(Vertices[X])), Vertices[X] &gt;= Misc!$O$2), OR(NOT(ISNUMBER(Vertices[X])), Vertices[X] &lt;= Misc!$P$2),OR(NOT(ISNUMBER(Vertices[Y])), Vertices[Y] &gt;= Misc!$O$3), OR(NOT(ISNUMBER(Vertices[Y])), Vertices[Y] &lt;= Misc!$P$3),TRUE), TRUE, FALSE)</f>
        <v>1</v>
      </c>
      <c r="AC12" s="111"/>
      <c r="AD12"/>
      <c r="AE12" s="2"/>
      <c r="AI12"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AA12"/>
    <dataValidation allowBlank="1" errorTitle="Invalid Vertex Visibility" error="You have entered an unrecognized vertex visibility.  Try selecting from the drop-down list instead." sqref="AE3"/>
    <dataValidation allowBlank="1" showErrorMessage="1" sqref="AE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O12">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12"/>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L12"/>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P12"/>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Q12"/>
    <dataValidation allowBlank="1" showInputMessage="1" errorTitle="Invalid Vertex Image Key" promptTitle="Vertex Tooltip" prompt="Enter optional text that will pop up when the mouse is hovered over the vertex." sqref="K3:K12"/>
    <dataValidation allowBlank="1" errorTitle="Invalid Vertex Visibility" error="You have entered an unrecognized vertex visibility.  Try selecting from the drop-down list instead." promptTitle="Vertex ID" prompt="This is a unique ID that gets filled in automatically.  Do not edit this column." sqref="AB3:AB12"/>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G12">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H12"/>
    <dataValidation allowBlank="1" showInputMessage="1" promptTitle="Vertex Label Fill Color" prompt="To select an optional fill color for the Label shape, right-click and select Select Color on the right-click menu." sqref="I3:I12"/>
    <dataValidation allowBlank="1" showInputMessage="1" errorTitle="Invalid Vertex Image Key" promptTitle="Vertex Image File" prompt="Enter the path to an image file.  Hover over the column header for examples." sqref="F3:F12"/>
    <dataValidation allowBlank="1" showInputMessage="1" promptTitle="Vertex Color" prompt="To select an optional vertex color, right-click and select Select Color on the right-click menu." sqref="B3:B12"/>
    <dataValidation allowBlank="1" showInputMessage="1" errorTitle="Invalid Vertex Opacity" error="The optional vertex opacity must be a whole number between 0 and 10." promptTitle="Vertex Opacity" prompt="Enter an optional vertex opacity between 0 (transparent) and 100 (opaque)." sqref="E3:E12"/>
    <dataValidation type="list" allowBlank="1" showInputMessage="1" showErrorMessage="1" errorTitle="Invalid Vertex Shape" error="You have entered an invalid vertex shape.  Try selecting from the drop-down list instead." promptTitle="Vertex Shape" prompt="Select an optional vertex shape." sqref="C3:C12">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0." sqref="D3:D12"/>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J12">
      <formula1>ValidVertexLabelPositions</formula1>
    </dataValidation>
    <dataValidation allowBlank="1" showInputMessage="1" showErrorMessage="1" promptTitle="Vertex Name" prompt="Enter the name of the vertex." sqref="A3:A12"/>
  </dataValidations>
  <pageMargins left="0.7" right="0.7" top="0.75" bottom="0.75" header="0.3" footer="0.3"/>
  <pageSetup orientation="portrait" horizontalDpi="0"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4.4" x14ac:dyDescent="0.3"/>
  <cols>
    <col min="1" max="1" width="10.88671875" style="3" bestFit="1" customWidth="1"/>
    <col min="2" max="2" width="16.88671875" style="3" bestFit="1" customWidth="1"/>
    <col min="4" max="5" width="9.109375" customWidth="1"/>
  </cols>
  <sheetData>
    <row r="1" spans="1:1" x14ac:dyDescent="0.3">
      <c r="A1" s="3" t="s">
        <v>49</v>
      </c>
    </row>
    <row r="2" spans="1:1" ht="15" customHeight="1" x14ac:dyDescent="0.3"/>
    <row r="3" spans="1:1" ht="15" customHeight="1" x14ac:dyDescent="0.3">
      <c r="A3" s="32" t="s">
        <v>50</v>
      </c>
    </row>
    <row r="21" spans="4:4" x14ac:dyDescent="0.3">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X10"/>
  <sheetViews>
    <sheetView workbookViewId="0">
      <pane ySplit="2" topLeftCell="A3" activePane="bottomLeft" state="frozen"/>
      <selection pane="bottomLeft" activeCell="A2" sqref="A2:X2"/>
    </sheetView>
  </sheetViews>
  <sheetFormatPr defaultRowHeight="14.4" x14ac:dyDescent="0.3"/>
  <cols>
    <col min="1" max="1" width="9.44140625" style="1" bestFit="1" customWidth="1"/>
    <col min="2" max="2" width="14.33203125" bestFit="1" customWidth="1"/>
    <col min="3" max="3" width="15" bestFit="1" customWidth="1"/>
    <col min="4" max="4" width="11.109375" bestFit="1" customWidth="1"/>
    <col min="5" max="5" width="13" bestFit="1" customWidth="1"/>
    <col min="6" max="6" width="8" bestFit="1" customWidth="1"/>
    <col min="7" max="8" width="13.5546875" hidden="1" customWidth="1"/>
    <col min="9" max="9" width="11" hidden="1" customWidth="1"/>
    <col min="10" max="10" width="12.5546875" hidden="1" customWidth="1"/>
    <col min="11" max="11" width="11" hidden="1" customWidth="1"/>
    <col min="12" max="12" width="9.6640625" hidden="1" customWidth="1"/>
    <col min="13" max="13" width="13.109375" hidden="1" customWidth="1"/>
    <col min="14" max="15" width="8.44140625" hidden="1" customWidth="1"/>
    <col min="16" max="16" width="18.33203125" hidden="1" customWidth="1"/>
    <col min="17" max="17" width="14.88671875" hidden="1" customWidth="1"/>
    <col min="18" max="18" width="14.5546875" hidden="1" customWidth="1"/>
    <col min="19" max="21" width="24.109375" hidden="1" customWidth="1"/>
    <col min="22" max="22" width="21.33203125" hidden="1" customWidth="1"/>
    <col min="23" max="23" width="19.33203125" hidden="1" customWidth="1"/>
    <col min="24" max="24" width="10" hidden="1" customWidth="1"/>
    <col min="25" max="25" width="13" customWidth="1"/>
  </cols>
  <sheetData>
    <row r="1" spans="1:24" x14ac:dyDescent="0.3">
      <c r="B1" s="70" t="s">
        <v>39</v>
      </c>
      <c r="C1" s="71"/>
      <c r="D1" s="71"/>
      <c r="E1" s="72"/>
      <c r="F1" s="68" t="s">
        <v>43</v>
      </c>
      <c r="G1" s="73" t="s">
        <v>44</v>
      </c>
      <c r="H1" s="74"/>
      <c r="I1" s="75" t="s">
        <v>40</v>
      </c>
      <c r="J1" s="76"/>
      <c r="K1" s="77" t="s">
        <v>42</v>
      </c>
      <c r="L1" s="78"/>
      <c r="M1" s="78"/>
      <c r="N1" s="78"/>
      <c r="O1" s="78"/>
      <c r="P1" s="78"/>
      <c r="Q1" s="78"/>
      <c r="R1" s="78"/>
      <c r="S1" s="78"/>
      <c r="T1" s="78"/>
      <c r="U1" s="78"/>
      <c r="V1" s="78"/>
      <c r="W1" s="78"/>
      <c r="X1" s="78"/>
    </row>
    <row r="2" spans="1:24" s="13" customFormat="1" ht="30" customHeight="1" x14ac:dyDescent="0.3">
      <c r="A2" s="11" t="s">
        <v>143</v>
      </c>
      <c r="B2" s="13" t="s">
        <v>21</v>
      </c>
      <c r="C2" s="13" t="s">
        <v>20</v>
      </c>
      <c r="D2" s="13" t="s">
        <v>11</v>
      </c>
      <c r="E2" s="13" t="s">
        <v>144</v>
      </c>
      <c r="F2" s="13" t="s">
        <v>46</v>
      </c>
      <c r="G2" s="13" t="s">
        <v>166</v>
      </c>
      <c r="H2" s="13" t="s">
        <v>167</v>
      </c>
      <c r="I2" s="13" t="s">
        <v>12</v>
      </c>
      <c r="J2" s="13" t="s">
        <v>165</v>
      </c>
      <c r="K2" s="13" t="s">
        <v>145</v>
      </c>
      <c r="L2" s="13" t="s">
        <v>147</v>
      </c>
      <c r="M2" s="13" t="s">
        <v>148</v>
      </c>
      <c r="N2" s="13" t="s">
        <v>149</v>
      </c>
      <c r="O2" s="13" t="s">
        <v>150</v>
      </c>
      <c r="P2" s="13" t="s">
        <v>169</v>
      </c>
      <c r="Q2" s="13" t="s">
        <v>170</v>
      </c>
      <c r="R2" s="13" t="s">
        <v>151</v>
      </c>
      <c r="S2" s="13" t="s">
        <v>152</v>
      </c>
      <c r="T2" s="13" t="s">
        <v>153</v>
      </c>
      <c r="U2" s="13" t="s">
        <v>154</v>
      </c>
      <c r="V2" s="13" t="s">
        <v>155</v>
      </c>
      <c r="W2" s="13" t="s">
        <v>156</v>
      </c>
      <c r="X2" s="13" t="s">
        <v>157</v>
      </c>
    </row>
    <row r="3" spans="1:24" x14ac:dyDescent="0.3">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x14ac:dyDescent="0.3"/>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4.4" x14ac:dyDescent="0.3"/>
  <cols>
    <col min="1" max="1" width="9.44140625" style="1" bestFit="1" customWidth="1"/>
    <col min="2" max="2" width="9.109375" style="1"/>
    <col min="3" max="3" width="11.5546875" bestFit="1" customWidth="1"/>
    <col min="4" max="4" width="9.109375" customWidth="1"/>
  </cols>
  <sheetData>
    <row r="1" spans="1:3" x14ac:dyDescent="0.3">
      <c r="A1" s="1" t="s">
        <v>143</v>
      </c>
      <c r="B1" s="1" t="s">
        <v>5</v>
      </c>
      <c r="C1" s="1" t="s">
        <v>146</v>
      </c>
    </row>
    <row r="2" spans="1:3" x14ac:dyDescent="0.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44"/>
  <sheetViews>
    <sheetView workbookViewId="0">
      <selection activeCell="A2" sqref="A2"/>
    </sheetView>
  </sheetViews>
  <sheetFormatPr defaultRowHeight="14.4" x14ac:dyDescent="0.3"/>
  <cols>
    <col min="1" max="1" width="43.109375" customWidth="1"/>
    <col min="2" max="2" width="13.88671875" customWidth="1"/>
    <col min="3" max="3" width="9.109375" customWidth="1"/>
    <col min="4" max="4" width="12.88671875" hidden="1" customWidth="1"/>
    <col min="5" max="5" width="19.6640625" hidden="1" customWidth="1"/>
    <col min="6" max="6" width="15.5546875" hidden="1" customWidth="1"/>
    <col min="7" max="7" width="22.109375" hidden="1" customWidth="1"/>
    <col min="8" max="8" width="17.109375" hidden="1" customWidth="1"/>
    <col min="9" max="9" width="23.88671875" hidden="1" customWidth="1"/>
    <col min="10" max="10" width="28.33203125" hidden="1" customWidth="1"/>
    <col min="11" max="11" width="34.88671875" hidden="1" customWidth="1"/>
    <col min="12" max="12" width="25" hidden="1" customWidth="1"/>
    <col min="13" max="13" width="31.5546875" hidden="1" customWidth="1"/>
    <col min="14" max="14" width="26.5546875" hidden="1" customWidth="1"/>
    <col min="15" max="17" width="33.33203125" hidden="1" customWidth="1"/>
    <col min="18" max="18" width="26.5546875" hidden="1" customWidth="1"/>
    <col min="19" max="19" width="33" hidden="1" customWidth="1"/>
    <col min="20" max="20" width="19.5546875" hidden="1" customWidth="1"/>
    <col min="21" max="21" width="26.109375" hidden="1" customWidth="1"/>
    <col min="22" max="22" width="9.109375" hidden="1" customWidth="1"/>
    <col min="23" max="23" width="34.109375" hidden="1" customWidth="1"/>
    <col min="24" max="24" width="25.109375" hidden="1" customWidth="1"/>
  </cols>
  <sheetData>
    <row r="1" spans="1:24" ht="15" customHeight="1" thickBot="1" x14ac:dyDescent="0.35">
      <c r="A1" s="13" t="s">
        <v>161</v>
      </c>
      <c r="B1" s="13" t="s">
        <v>17</v>
      </c>
      <c r="D1" t="s">
        <v>79</v>
      </c>
      <c r="E1" t="s">
        <v>80</v>
      </c>
      <c r="F1" s="37" t="s">
        <v>86</v>
      </c>
      <c r="G1" s="38" t="s">
        <v>87</v>
      </c>
      <c r="H1" s="37" t="s">
        <v>92</v>
      </c>
      <c r="I1" s="38" t="s">
        <v>93</v>
      </c>
      <c r="J1" s="37" t="s">
        <v>98</v>
      </c>
      <c r="K1" s="38" t="s">
        <v>99</v>
      </c>
      <c r="L1" s="37" t="s">
        <v>104</v>
      </c>
      <c r="M1" s="38" t="s">
        <v>105</v>
      </c>
      <c r="N1" s="37" t="s">
        <v>110</v>
      </c>
      <c r="O1" s="38" t="s">
        <v>111</v>
      </c>
      <c r="P1" s="38" t="s">
        <v>137</v>
      </c>
      <c r="Q1" s="38" t="s">
        <v>138</v>
      </c>
      <c r="R1" s="37" t="s">
        <v>116</v>
      </c>
      <c r="S1" s="37" t="s">
        <v>117</v>
      </c>
      <c r="T1" s="37" t="s">
        <v>122</v>
      </c>
      <c r="U1" s="38" t="s">
        <v>123</v>
      </c>
      <c r="W1" t="s">
        <v>127</v>
      </c>
      <c r="X1" t="s">
        <v>17</v>
      </c>
    </row>
    <row r="2" spans="1:24" ht="15" thickTop="1" x14ac:dyDescent="0.3">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f ca="1">MIN(INDIRECT(DynamicFilterSourceColumnRange))</f>
        <v>169.42622375488281</v>
      </c>
      <c r="U2" s="40">
        <f t="shared" ref="U2:U45" ca="1" si="0">COUNTIF(INDIRECT(DynamicFilterSourceColumnRange), "&gt;= " &amp; T2) - COUNTIF(INDIRECT(DynamicFilterSourceColumnRange), "&gt;=" &amp; T3)</f>
        <v>2</v>
      </c>
      <c r="W2" t="s">
        <v>124</v>
      </c>
      <c r="X2">
        <f>ROWS(HistogramBins[Degree Bin]) - 1</f>
        <v>43</v>
      </c>
    </row>
    <row r="3" spans="1:24" x14ac:dyDescent="0.3">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f t="shared" ref="T3:T44" ca="1" si="9">T2+($T$45-$T$2)/BinDivisor</f>
        <v>393.9918929698855</v>
      </c>
      <c r="U3" s="42">
        <f t="shared" ca="1" si="0"/>
        <v>0</v>
      </c>
      <c r="W3" t="s">
        <v>125</v>
      </c>
      <c r="X3" t="s">
        <v>85</v>
      </c>
    </row>
    <row r="4" spans="1:24" x14ac:dyDescent="0.3">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f t="shared" ca="1" si="9"/>
        <v>618.55756218488818</v>
      </c>
      <c r="U4" s="40">
        <f t="shared" ca="1" si="0"/>
        <v>0</v>
      </c>
      <c r="W4" s="12" t="s">
        <v>126</v>
      </c>
      <c r="X4" s="12" t="s">
        <v>188</v>
      </c>
    </row>
    <row r="5" spans="1:24" x14ac:dyDescent="0.3">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f t="shared" ca="1" si="9"/>
        <v>843.12323139989087</v>
      </c>
      <c r="U5" s="42">
        <f t="shared" ca="1" si="0"/>
        <v>0</v>
      </c>
    </row>
    <row r="6" spans="1:24" x14ac:dyDescent="0.3">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f t="shared" ca="1" si="9"/>
        <v>1067.6889006148936</v>
      </c>
      <c r="U6" s="40">
        <f t="shared" ca="1" si="0"/>
        <v>0</v>
      </c>
    </row>
    <row r="7" spans="1:24" x14ac:dyDescent="0.3">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f t="shared" ca="1" si="9"/>
        <v>1292.2545698298964</v>
      </c>
      <c r="U7" s="42">
        <f t="shared" ca="1" si="0"/>
        <v>0</v>
      </c>
    </row>
    <row r="8" spans="1:24" x14ac:dyDescent="0.3">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f t="shared" ca="1" si="9"/>
        <v>1516.8202390448992</v>
      </c>
      <c r="U8" s="40">
        <f t="shared" ca="1" si="0"/>
        <v>0</v>
      </c>
    </row>
    <row r="9" spans="1:24" x14ac:dyDescent="0.3">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f t="shared" ca="1" si="9"/>
        <v>1741.385908259902</v>
      </c>
      <c r="U9" s="42">
        <f t="shared" ca="1" si="0"/>
        <v>0</v>
      </c>
    </row>
    <row r="10" spans="1:24" x14ac:dyDescent="0.3">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f t="shared" ca="1" si="9"/>
        <v>1965.9515774749048</v>
      </c>
      <c r="U10" s="40">
        <f t="shared" ca="1" si="0"/>
        <v>0</v>
      </c>
    </row>
    <row r="11" spans="1:24" x14ac:dyDescent="0.3">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f t="shared" ca="1" si="9"/>
        <v>2190.5172466899076</v>
      </c>
      <c r="U11" s="42">
        <f t="shared" ca="1" si="0"/>
        <v>0</v>
      </c>
    </row>
    <row r="12" spans="1:24" x14ac:dyDescent="0.3">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f t="shared" ca="1" si="9"/>
        <v>2415.0829159049104</v>
      </c>
      <c r="U12" s="40">
        <f t="shared" ca="1" si="0"/>
        <v>1</v>
      </c>
    </row>
    <row r="13" spans="1:24" x14ac:dyDescent="0.3">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f t="shared" ca="1" si="9"/>
        <v>2639.6485851199132</v>
      </c>
      <c r="U13" s="42">
        <f t="shared" ca="1" si="0"/>
        <v>0</v>
      </c>
    </row>
    <row r="14" spans="1:24" x14ac:dyDescent="0.3">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f t="shared" ca="1" si="9"/>
        <v>2864.2142543349159</v>
      </c>
      <c r="U14" s="40">
        <f t="shared" ca="1" si="0"/>
        <v>1</v>
      </c>
    </row>
    <row r="15" spans="1:24" x14ac:dyDescent="0.3">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f t="shared" ca="1" si="9"/>
        <v>3088.7799235499187</v>
      </c>
      <c r="U15" s="42">
        <f t="shared" ca="1" si="0"/>
        <v>0</v>
      </c>
    </row>
    <row r="16" spans="1:24" x14ac:dyDescent="0.3">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f t="shared" ca="1" si="9"/>
        <v>3313.3455927649215</v>
      </c>
      <c r="U16" s="40">
        <f t="shared" ca="1" si="0"/>
        <v>0</v>
      </c>
    </row>
    <row r="17" spans="1:21" x14ac:dyDescent="0.3">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f t="shared" ca="1" si="9"/>
        <v>3537.9112619799243</v>
      </c>
      <c r="U17" s="42">
        <f t="shared" ca="1" si="0"/>
        <v>0</v>
      </c>
    </row>
    <row r="18" spans="1:21" x14ac:dyDescent="0.3">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f t="shared" ca="1" si="9"/>
        <v>3762.4769311949271</v>
      </c>
      <c r="U18" s="40">
        <f t="shared" ca="1" si="0"/>
        <v>0</v>
      </c>
    </row>
    <row r="19" spans="1:21" x14ac:dyDescent="0.3">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f t="shared" ca="1" si="9"/>
        <v>3987.0426004099299</v>
      </c>
      <c r="U19" s="42">
        <f t="shared" ca="1" si="0"/>
        <v>1</v>
      </c>
    </row>
    <row r="20" spans="1:21" x14ac:dyDescent="0.3">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f t="shared" ca="1" si="9"/>
        <v>4211.6082696249323</v>
      </c>
      <c r="U20" s="40">
        <f t="shared" ca="1" si="0"/>
        <v>0</v>
      </c>
    </row>
    <row r="21" spans="1:21" x14ac:dyDescent="0.3">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f t="shared" ca="1" si="9"/>
        <v>4436.1739388399346</v>
      </c>
      <c r="U21" s="42">
        <f t="shared" ca="1" si="0"/>
        <v>0</v>
      </c>
    </row>
    <row r="22" spans="1:21" x14ac:dyDescent="0.3">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f t="shared" ca="1" si="9"/>
        <v>4660.739608054937</v>
      </c>
      <c r="U22" s="40">
        <f t="shared" ca="1" si="0"/>
        <v>0</v>
      </c>
    </row>
    <row r="23" spans="1:21" x14ac:dyDescent="0.3">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f t="shared" ca="1" si="9"/>
        <v>4885.3052772699393</v>
      </c>
      <c r="U23" s="42">
        <f t="shared" ca="1" si="0"/>
        <v>0</v>
      </c>
    </row>
    <row r="24" spans="1:21" x14ac:dyDescent="0.3">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f t="shared" ca="1" si="9"/>
        <v>5109.8709464849417</v>
      </c>
      <c r="U24" s="40">
        <f t="shared" ca="1" si="0"/>
        <v>0</v>
      </c>
    </row>
    <row r="25" spans="1:21" x14ac:dyDescent="0.3">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f t="shared" ca="1" si="9"/>
        <v>5334.436615699944</v>
      </c>
      <c r="U25" s="42">
        <f t="shared" ca="1" si="0"/>
        <v>0</v>
      </c>
    </row>
    <row r="26" spans="1:21" x14ac:dyDescent="0.3">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f t="shared" ca="1" si="9"/>
        <v>5559.0022849149464</v>
      </c>
      <c r="U26" s="40">
        <f t="shared" ca="1" si="0"/>
        <v>0</v>
      </c>
    </row>
    <row r="27" spans="1:21" x14ac:dyDescent="0.3">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f t="shared" ca="1" si="9"/>
        <v>5783.5679541299487</v>
      </c>
      <c r="U27" s="42">
        <f t="shared" ca="1" si="0"/>
        <v>0</v>
      </c>
    </row>
    <row r="28" spans="1:21" x14ac:dyDescent="0.3">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f t="shared" ca="1" si="9"/>
        <v>6008.133623344951</v>
      </c>
      <c r="U28" s="40">
        <f t="shared" ca="1" si="0"/>
        <v>0</v>
      </c>
    </row>
    <row r="29" spans="1:21" x14ac:dyDescent="0.3">
      <c r="A29" t="s">
        <v>162</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f t="shared" ca="1" si="9"/>
        <v>6232.6992925599534</v>
      </c>
      <c r="U29" s="42">
        <f t="shared" ca="1" si="0"/>
        <v>1</v>
      </c>
    </row>
    <row r="30" spans="1:21" x14ac:dyDescent="0.3">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f t="shared" ca="1" si="9"/>
        <v>6457.2649617749557</v>
      </c>
      <c r="U30" s="40">
        <f t="shared" ca="1" si="0"/>
        <v>0</v>
      </c>
    </row>
    <row r="31" spans="1:21" x14ac:dyDescent="0.3">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f t="shared" ca="1" si="9"/>
        <v>6681.8306309899581</v>
      </c>
      <c r="U31" s="42">
        <f t="shared" ca="1" si="0"/>
        <v>1</v>
      </c>
    </row>
    <row r="32" spans="1:21" x14ac:dyDescent="0.3">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f t="shared" ca="1" si="9"/>
        <v>6906.3963002049604</v>
      </c>
      <c r="U32" s="40">
        <f t="shared" ca="1" si="0"/>
        <v>1</v>
      </c>
    </row>
    <row r="33" spans="1:21" x14ac:dyDescent="0.3">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f t="shared" ca="1" si="9"/>
        <v>7130.9619694199628</v>
      </c>
      <c r="U33" s="42">
        <f t="shared" ca="1" si="0"/>
        <v>0</v>
      </c>
    </row>
    <row r="34" spans="1:21" x14ac:dyDescent="0.3">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f t="shared" ca="1" si="9"/>
        <v>7355.5276386349651</v>
      </c>
      <c r="U34" s="40">
        <f t="shared" ca="1" si="0"/>
        <v>0</v>
      </c>
    </row>
    <row r="35" spans="1:21" x14ac:dyDescent="0.3">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f t="shared" ca="1" si="9"/>
        <v>7580.0933078499675</v>
      </c>
      <c r="U35" s="42">
        <f t="shared" ca="1" si="0"/>
        <v>0</v>
      </c>
    </row>
    <row r="36" spans="1:21" x14ac:dyDescent="0.3">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f t="shared" ca="1" si="9"/>
        <v>7804.6589770649698</v>
      </c>
      <c r="U36" s="40">
        <f t="shared" ca="1" si="0"/>
        <v>0</v>
      </c>
    </row>
    <row r="37" spans="1:21" x14ac:dyDescent="0.3">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f t="shared" ca="1" si="9"/>
        <v>8029.2246462799721</v>
      </c>
      <c r="U37" s="42">
        <f t="shared" ca="1" si="0"/>
        <v>0</v>
      </c>
    </row>
    <row r="38" spans="1:21" x14ac:dyDescent="0.3">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f t="shared" ca="1" si="9"/>
        <v>8253.7903154949745</v>
      </c>
      <c r="U38" s="40">
        <f t="shared" ca="1" si="0"/>
        <v>0</v>
      </c>
    </row>
    <row r="39" spans="1:21" x14ac:dyDescent="0.3">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f t="shared" ca="1" si="9"/>
        <v>8478.3559847099768</v>
      </c>
      <c r="U39" s="42">
        <f t="shared" ca="1" si="0"/>
        <v>0</v>
      </c>
    </row>
    <row r="40" spans="1:21" x14ac:dyDescent="0.3">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f t="shared" ca="1" si="9"/>
        <v>8702.9216539249792</v>
      </c>
      <c r="U40" s="40">
        <f t="shared" ca="1" si="0"/>
        <v>0</v>
      </c>
    </row>
    <row r="41" spans="1:21" x14ac:dyDescent="0.3">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f t="shared" ca="1" si="9"/>
        <v>8927.4873231399815</v>
      </c>
      <c r="U41" s="42">
        <f t="shared" ca="1" si="0"/>
        <v>0</v>
      </c>
    </row>
    <row r="42" spans="1:21" x14ac:dyDescent="0.3">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f t="shared" ca="1" si="9"/>
        <v>9152.0529923549839</v>
      </c>
      <c r="U42" s="40">
        <f t="shared" ca="1" si="0"/>
        <v>0</v>
      </c>
    </row>
    <row r="43" spans="1:21" x14ac:dyDescent="0.3">
      <c r="A43" s="35" t="s">
        <v>81</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f t="shared" ca="1" si="9"/>
        <v>9376.6186615699862</v>
      </c>
      <c r="U43" s="42">
        <f t="shared" ca="1" si="0"/>
        <v>0</v>
      </c>
    </row>
    <row r="44" spans="1:21" x14ac:dyDescent="0.3">
      <c r="A44" s="35" t="s">
        <v>82</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f t="shared" ca="1" si="9"/>
        <v>9601.1843307849886</v>
      </c>
      <c r="U44" s="40">
        <f t="shared" ca="1" si="0"/>
        <v>1</v>
      </c>
    </row>
    <row r="45" spans="1:21" x14ac:dyDescent="0.3">
      <c r="A45" s="35" t="s">
        <v>83</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f ca="1">MAX(INDIRECT(DynamicFilterSourceColumnRange))</f>
        <v>9825.75</v>
      </c>
      <c r="U45" s="44">
        <f t="shared" ca="1" si="0"/>
        <v>1</v>
      </c>
    </row>
    <row r="46" spans="1:21" x14ac:dyDescent="0.3">
      <c r="A46" s="35" t="s">
        <v>84</v>
      </c>
      <c r="B46" s="49" t="str">
        <f>IFERROR(MEDIAN(Vertices[Degree]),NoMetricMessage)</f>
        <v>Not Available</v>
      </c>
    </row>
    <row r="57" spans="1:2" x14ac:dyDescent="0.3">
      <c r="A57" s="35" t="s">
        <v>88</v>
      </c>
      <c r="B57" s="48" t="str">
        <f>IF(COUNT(Vertices[In-Degree])&gt;0, F2, NoMetricMessage)</f>
        <v>Not Available</v>
      </c>
    </row>
    <row r="58" spans="1:2" x14ac:dyDescent="0.3">
      <c r="A58" s="35" t="s">
        <v>89</v>
      </c>
      <c r="B58" s="48" t="str">
        <f>IF(COUNT(Vertices[In-Degree])&gt;0, F45, NoMetricMessage)</f>
        <v>Not Available</v>
      </c>
    </row>
    <row r="59" spans="1:2" x14ac:dyDescent="0.3">
      <c r="A59" s="35" t="s">
        <v>90</v>
      </c>
      <c r="B59" s="49" t="str">
        <f>IFERROR(AVERAGE(Vertices[In-Degree]),NoMetricMessage)</f>
        <v>Not Available</v>
      </c>
    </row>
    <row r="60" spans="1:2" x14ac:dyDescent="0.3">
      <c r="A60" s="35" t="s">
        <v>91</v>
      </c>
      <c r="B60" s="49" t="str">
        <f>IFERROR(MEDIAN(Vertices[In-Degree]),NoMetricMessage)</f>
        <v>Not Available</v>
      </c>
    </row>
    <row r="71" spans="1:2" x14ac:dyDescent="0.3">
      <c r="A71" s="35" t="s">
        <v>94</v>
      </c>
      <c r="B71" s="48" t="str">
        <f>IF(COUNT(Vertices[Out-Degree])&gt;0, H2, NoMetricMessage)</f>
        <v>Not Available</v>
      </c>
    </row>
    <row r="72" spans="1:2" x14ac:dyDescent="0.3">
      <c r="A72" s="35" t="s">
        <v>95</v>
      </c>
      <c r="B72" s="48" t="str">
        <f>IF(COUNT(Vertices[Out-Degree])&gt;0, H45, NoMetricMessage)</f>
        <v>Not Available</v>
      </c>
    </row>
    <row r="73" spans="1:2" x14ac:dyDescent="0.3">
      <c r="A73" s="35" t="s">
        <v>96</v>
      </c>
      <c r="B73" s="49" t="str">
        <f>IFERROR(AVERAGE(Vertices[Out-Degree]),NoMetricMessage)</f>
        <v>Not Available</v>
      </c>
    </row>
    <row r="74" spans="1:2" x14ac:dyDescent="0.3">
      <c r="A74" s="35" t="s">
        <v>97</v>
      </c>
      <c r="B74" s="49" t="str">
        <f>IFERROR(MEDIAN(Vertices[Out-Degree]),NoMetricMessage)</f>
        <v>Not Available</v>
      </c>
    </row>
    <row r="85" spans="1:2" x14ac:dyDescent="0.3">
      <c r="A85" s="35" t="s">
        <v>100</v>
      </c>
      <c r="B85" s="49" t="str">
        <f>IF(COUNT(Vertices[Betweenness Centrality])&gt;0, J2, NoMetricMessage)</f>
        <v>Not Available</v>
      </c>
    </row>
    <row r="86" spans="1:2" x14ac:dyDescent="0.3">
      <c r="A86" s="35" t="s">
        <v>101</v>
      </c>
      <c r="B86" s="49" t="str">
        <f>IF(COUNT(Vertices[Betweenness Centrality])&gt;0, J45, NoMetricMessage)</f>
        <v>Not Available</v>
      </c>
    </row>
    <row r="87" spans="1:2" x14ac:dyDescent="0.3">
      <c r="A87" s="35" t="s">
        <v>102</v>
      </c>
      <c r="B87" s="49" t="str">
        <f>IFERROR(AVERAGE(Vertices[Betweenness Centrality]),NoMetricMessage)</f>
        <v>Not Available</v>
      </c>
    </row>
    <row r="88" spans="1:2" x14ac:dyDescent="0.3">
      <c r="A88" s="35" t="s">
        <v>103</v>
      </c>
      <c r="B88" s="49" t="str">
        <f>IFERROR(MEDIAN(Vertices[Betweenness Centrality]),NoMetricMessage)</f>
        <v>Not Available</v>
      </c>
    </row>
    <row r="99" spans="1:2" x14ac:dyDescent="0.3">
      <c r="A99" s="35" t="s">
        <v>106</v>
      </c>
      <c r="B99" s="49" t="str">
        <f>IF(COUNT(Vertices[Closeness Centrality])&gt;0, L2, NoMetricMessage)</f>
        <v>Not Available</v>
      </c>
    </row>
    <row r="100" spans="1:2" x14ac:dyDescent="0.3">
      <c r="A100" s="35" t="s">
        <v>107</v>
      </c>
      <c r="B100" s="49" t="str">
        <f>IF(COUNT(Vertices[Closeness Centrality])&gt;0, L45, NoMetricMessage)</f>
        <v>Not Available</v>
      </c>
    </row>
    <row r="101" spans="1:2" x14ac:dyDescent="0.3">
      <c r="A101" s="35" t="s">
        <v>108</v>
      </c>
      <c r="B101" s="49" t="str">
        <f>IFERROR(AVERAGE(Vertices[Closeness Centrality]),NoMetricMessage)</f>
        <v>Not Available</v>
      </c>
    </row>
    <row r="102" spans="1:2" x14ac:dyDescent="0.3">
      <c r="A102" s="35" t="s">
        <v>109</v>
      </c>
      <c r="B102" s="49" t="str">
        <f>IFERROR(MEDIAN(Vertices[Closeness Centrality]),NoMetricMessage)</f>
        <v>Not Available</v>
      </c>
    </row>
    <row r="113" spans="1:2" x14ac:dyDescent="0.3">
      <c r="A113" s="35" t="s">
        <v>112</v>
      </c>
      <c r="B113" s="49" t="str">
        <f>IF(COUNT(Vertices[Eigenvector Centrality])&gt;0, N2, NoMetricMessage)</f>
        <v>Not Available</v>
      </c>
    </row>
    <row r="114" spans="1:2" x14ac:dyDescent="0.3">
      <c r="A114" s="35" t="s">
        <v>113</v>
      </c>
      <c r="B114" s="49" t="str">
        <f>IF(COUNT(Vertices[Eigenvector Centrality])&gt;0, N45, NoMetricMessage)</f>
        <v>Not Available</v>
      </c>
    </row>
    <row r="115" spans="1:2" x14ac:dyDescent="0.3">
      <c r="A115" s="35" t="s">
        <v>114</v>
      </c>
      <c r="B115" s="49" t="str">
        <f>IFERROR(AVERAGE(Vertices[Eigenvector Centrality]),NoMetricMessage)</f>
        <v>Not Available</v>
      </c>
    </row>
    <row r="116" spans="1:2" x14ac:dyDescent="0.3">
      <c r="A116" s="35" t="s">
        <v>115</v>
      </c>
      <c r="B116" s="49" t="str">
        <f>IFERROR(MEDIAN(Vertices[Eigenvector Centrality]),NoMetricMessage)</f>
        <v>Not Available</v>
      </c>
    </row>
    <row r="127" spans="1:2" x14ac:dyDescent="0.3">
      <c r="A127" s="35" t="s">
        <v>139</v>
      </c>
      <c r="B127" s="49" t="str">
        <f>IF(COUNT(Vertices[PageRank])&gt;0, P2, NoMetricMessage)</f>
        <v>Not Available</v>
      </c>
    </row>
    <row r="128" spans="1:2" x14ac:dyDescent="0.3">
      <c r="A128" s="35" t="s">
        <v>140</v>
      </c>
      <c r="B128" s="49" t="str">
        <f>IF(COUNT(Vertices[PageRank])&gt;0, P45, NoMetricMessage)</f>
        <v>Not Available</v>
      </c>
    </row>
    <row r="129" spans="1:2" x14ac:dyDescent="0.3">
      <c r="A129" s="35" t="s">
        <v>141</v>
      </c>
      <c r="B129" s="49" t="str">
        <f>IFERROR(AVERAGE(Vertices[PageRank]),NoMetricMessage)</f>
        <v>Not Available</v>
      </c>
    </row>
    <row r="130" spans="1:2" x14ac:dyDescent="0.3">
      <c r="A130" s="35" t="s">
        <v>142</v>
      </c>
      <c r="B130" s="49" t="str">
        <f>IFERROR(MEDIAN(Vertices[PageRank]),NoMetricMessage)</f>
        <v>Not Available</v>
      </c>
    </row>
    <row r="141" spans="1:2" x14ac:dyDescent="0.3">
      <c r="A141" s="35" t="s">
        <v>118</v>
      </c>
      <c r="B141" s="49" t="str">
        <f>IF(COUNT(Vertices[Clustering Coefficient])&gt;0, R2, NoMetricMessage)</f>
        <v>Not Available</v>
      </c>
    </row>
    <row r="142" spans="1:2" x14ac:dyDescent="0.3">
      <c r="A142" s="35" t="s">
        <v>119</v>
      </c>
      <c r="B142" s="49" t="str">
        <f>IF(COUNT(Vertices[Clustering Coefficient])&gt;0, R45, NoMetricMessage)</f>
        <v>Not Available</v>
      </c>
    </row>
    <row r="143" spans="1:2" x14ac:dyDescent="0.3">
      <c r="A143" s="35" t="s">
        <v>120</v>
      </c>
      <c r="B143" s="49" t="str">
        <f>IFERROR(AVERAGE(Vertices[Clustering Coefficient]),NoMetricMessage)</f>
        <v>Not Available</v>
      </c>
    </row>
    <row r="144" spans="1:2" x14ac:dyDescent="0.3">
      <c r="A144" s="35" t="s">
        <v>121</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23"/>
  <sheetViews>
    <sheetView workbookViewId="0">
      <selection activeCell="A2" sqref="A2"/>
    </sheetView>
  </sheetViews>
  <sheetFormatPr defaultRowHeight="14.4" x14ac:dyDescent="0.3"/>
  <cols>
    <col min="1" max="1" width="10.44140625" style="1" bestFit="1" customWidth="1"/>
    <col min="2" max="2" width="12.44140625" style="1" bestFit="1" customWidth="1"/>
    <col min="3" max="3" width="22.88671875" bestFit="1" customWidth="1"/>
    <col min="4" max="4" width="16.88671875" bestFit="1" customWidth="1"/>
    <col min="5" max="6" width="16.88671875" customWidth="1"/>
    <col min="7" max="7" width="14.33203125" bestFit="1" customWidth="1"/>
    <col min="8" max="8" width="14.33203125" customWidth="1"/>
    <col min="10" max="10" width="39.109375" bestFit="1" customWidth="1"/>
    <col min="11" max="11" width="10.88671875" bestFit="1" customWidth="1"/>
    <col min="13" max="13" width="8.44140625" bestFit="1" customWidth="1"/>
    <col min="14" max="14" width="10" bestFit="1" customWidth="1"/>
    <col min="15" max="15" width="11.88671875" bestFit="1" customWidth="1"/>
    <col min="16" max="16" width="12.109375" bestFit="1" customWidth="1"/>
  </cols>
  <sheetData>
    <row r="1" spans="1:18" s="4" customFormat="1" ht="36" customHeight="1" x14ac:dyDescent="0.3">
      <c r="A1" s="5" t="s">
        <v>6</v>
      </c>
      <c r="B1" s="5" t="s">
        <v>130</v>
      </c>
      <c r="C1" s="4" t="s">
        <v>7</v>
      </c>
      <c r="D1" s="4" t="s">
        <v>9</v>
      </c>
      <c r="E1" s="4" t="s">
        <v>163</v>
      </c>
      <c r="F1" s="5" t="s">
        <v>168</v>
      </c>
      <c r="G1" s="4" t="s">
        <v>14</v>
      </c>
      <c r="H1" s="4" t="s">
        <v>67</v>
      </c>
      <c r="J1" s="4" t="s">
        <v>18</v>
      </c>
      <c r="K1" s="4" t="s">
        <v>17</v>
      </c>
      <c r="M1" s="4" t="s">
        <v>22</v>
      </c>
      <c r="N1" s="4" t="s">
        <v>23</v>
      </c>
      <c r="O1" s="4" t="s">
        <v>24</v>
      </c>
      <c r="P1" s="4" t="s">
        <v>25</v>
      </c>
    </row>
    <row r="2" spans="1:18" x14ac:dyDescent="0.3">
      <c r="A2" s="1" t="s">
        <v>51</v>
      </c>
      <c r="B2" s="1" t="s">
        <v>131</v>
      </c>
      <c r="C2" t="s">
        <v>54</v>
      </c>
      <c r="D2" t="s">
        <v>55</v>
      </c>
      <c r="E2" t="s">
        <v>55</v>
      </c>
      <c r="F2" s="1" t="s">
        <v>51</v>
      </c>
      <c r="G2" t="s">
        <v>65</v>
      </c>
      <c r="H2" t="s">
        <v>158</v>
      </c>
      <c r="J2" t="s">
        <v>19</v>
      </c>
      <c r="K2">
        <v>108</v>
      </c>
      <c r="M2" t="s">
        <v>145</v>
      </c>
      <c r="N2" t="s">
        <v>15</v>
      </c>
      <c r="O2">
        <v>126.90414428710901</v>
      </c>
      <c r="P2">
        <v>9877.697265625</v>
      </c>
    </row>
    <row r="3" spans="1:18" x14ac:dyDescent="0.3">
      <c r="A3" s="1" t="s">
        <v>52</v>
      </c>
      <c r="B3" s="1" t="s">
        <v>132</v>
      </c>
      <c r="C3" t="s">
        <v>52</v>
      </c>
      <c r="D3" t="s">
        <v>56</v>
      </c>
      <c r="E3" t="s">
        <v>56</v>
      </c>
      <c r="F3" s="1" t="s">
        <v>52</v>
      </c>
      <c r="G3" t="s">
        <v>66</v>
      </c>
      <c r="H3" t="s">
        <v>68</v>
      </c>
      <c r="J3" t="s">
        <v>30</v>
      </c>
      <c r="K3" t="s">
        <v>184</v>
      </c>
      <c r="M3" t="s">
        <v>145</v>
      </c>
      <c r="N3" t="s">
        <v>16</v>
      </c>
      <c r="O3">
        <v>169</v>
      </c>
      <c r="P3">
        <v>9825.75</v>
      </c>
    </row>
    <row r="4" spans="1:18" x14ac:dyDescent="0.3">
      <c r="A4" s="1" t="s">
        <v>53</v>
      </c>
      <c r="B4" s="1" t="s">
        <v>133</v>
      </c>
      <c r="C4" t="s">
        <v>53</v>
      </c>
      <c r="D4" t="s">
        <v>57</v>
      </c>
      <c r="E4" t="s">
        <v>57</v>
      </c>
      <c r="F4" s="1" t="s">
        <v>53</v>
      </c>
      <c r="G4">
        <v>0</v>
      </c>
      <c r="H4" t="s">
        <v>69</v>
      </c>
      <c r="J4" s="12" t="s">
        <v>78</v>
      </c>
      <c r="K4" s="12"/>
    </row>
    <row r="5" spans="1:18" ht="409.6" x14ac:dyDescent="0.3">
      <c r="A5">
        <v>1</v>
      </c>
      <c r="B5" s="1" t="s">
        <v>134</v>
      </c>
      <c r="C5" t="s">
        <v>51</v>
      </c>
      <c r="D5" t="s">
        <v>58</v>
      </c>
      <c r="E5" t="s">
        <v>58</v>
      </c>
      <c r="F5">
        <v>1</v>
      </c>
      <c r="G5">
        <v>1</v>
      </c>
      <c r="H5" t="s">
        <v>70</v>
      </c>
      <c r="J5" t="s">
        <v>171</v>
      </c>
      <c r="K5" s="13" t="s">
        <v>189</v>
      </c>
    </row>
    <row r="6" spans="1:18" x14ac:dyDescent="0.3">
      <c r="A6">
        <v>0</v>
      </c>
      <c r="B6" s="1" t="s">
        <v>135</v>
      </c>
      <c r="C6">
        <v>1</v>
      </c>
      <c r="D6" t="s">
        <v>59</v>
      </c>
      <c r="E6" t="s">
        <v>59</v>
      </c>
      <c r="F6">
        <v>0</v>
      </c>
      <c r="H6" t="s">
        <v>71</v>
      </c>
      <c r="J6" t="s">
        <v>172</v>
      </c>
      <c r="K6">
        <v>1</v>
      </c>
      <c r="R6" t="s">
        <v>128</v>
      </c>
    </row>
    <row r="7" spans="1:18" x14ac:dyDescent="0.3">
      <c r="A7">
        <v>2</v>
      </c>
      <c r="B7">
        <v>1</v>
      </c>
      <c r="C7">
        <v>0</v>
      </c>
      <c r="D7" t="s">
        <v>60</v>
      </c>
      <c r="E7" t="s">
        <v>60</v>
      </c>
      <c r="F7">
        <v>2</v>
      </c>
      <c r="H7" t="s">
        <v>72</v>
      </c>
      <c r="J7" t="s">
        <v>183</v>
      </c>
      <c r="K7" t="s">
        <v>185</v>
      </c>
    </row>
    <row r="8" spans="1:18" x14ac:dyDescent="0.3">
      <c r="A8"/>
      <c r="B8">
        <v>2</v>
      </c>
      <c r="C8">
        <v>2</v>
      </c>
      <c r="D8" t="s">
        <v>61</v>
      </c>
      <c r="E8" t="s">
        <v>61</v>
      </c>
      <c r="H8" t="s">
        <v>73</v>
      </c>
    </row>
    <row r="9" spans="1:18" x14ac:dyDescent="0.3">
      <c r="A9"/>
      <c r="B9">
        <v>3</v>
      </c>
      <c r="C9">
        <v>4</v>
      </c>
      <c r="D9" t="s">
        <v>62</v>
      </c>
      <c r="E9" t="s">
        <v>62</v>
      </c>
      <c r="H9" t="s">
        <v>74</v>
      </c>
    </row>
    <row r="10" spans="1:18" x14ac:dyDescent="0.3">
      <c r="A10"/>
      <c r="B10">
        <v>4</v>
      </c>
      <c r="D10" t="s">
        <v>63</v>
      </c>
      <c r="E10" t="s">
        <v>63</v>
      </c>
      <c r="H10" t="s">
        <v>75</v>
      </c>
    </row>
    <row r="11" spans="1:18" x14ac:dyDescent="0.3">
      <c r="A11"/>
      <c r="B11">
        <v>5</v>
      </c>
      <c r="D11" t="s">
        <v>46</v>
      </c>
      <c r="E11">
        <v>1</v>
      </c>
      <c r="H11" t="s">
        <v>76</v>
      </c>
    </row>
    <row r="12" spans="1:18" x14ac:dyDescent="0.3">
      <c r="A12"/>
      <c r="B12"/>
      <c r="D12" t="s">
        <v>64</v>
      </c>
      <c r="E12">
        <v>2</v>
      </c>
      <c r="H12">
        <v>0</v>
      </c>
    </row>
    <row r="13" spans="1:18" x14ac:dyDescent="0.3">
      <c r="A13"/>
      <c r="B13"/>
      <c r="D13">
        <v>1</v>
      </c>
      <c r="E13">
        <v>3</v>
      </c>
      <c r="H13">
        <v>1</v>
      </c>
    </row>
    <row r="14" spans="1:18" x14ac:dyDescent="0.3">
      <c r="D14">
        <v>2</v>
      </c>
      <c r="E14">
        <v>4</v>
      </c>
      <c r="H14">
        <v>2</v>
      </c>
    </row>
    <row r="15" spans="1:18" x14ac:dyDescent="0.3">
      <c r="D15">
        <v>3</v>
      </c>
      <c r="E15">
        <v>5</v>
      </c>
      <c r="H15">
        <v>3</v>
      </c>
    </row>
    <row r="16" spans="1:18" x14ac:dyDescent="0.3">
      <c r="D16">
        <v>4</v>
      </c>
      <c r="E16">
        <v>6</v>
      </c>
      <c r="H16">
        <v>4</v>
      </c>
    </row>
    <row r="17" spans="4:8" x14ac:dyDescent="0.3">
      <c r="D17">
        <v>5</v>
      </c>
      <c r="E17">
        <v>7</v>
      </c>
      <c r="H17">
        <v>5</v>
      </c>
    </row>
    <row r="18" spans="4:8" x14ac:dyDescent="0.3">
      <c r="D18">
        <v>6</v>
      </c>
      <c r="E18">
        <v>8</v>
      </c>
      <c r="H18">
        <v>6</v>
      </c>
    </row>
    <row r="19" spans="4:8" x14ac:dyDescent="0.3">
      <c r="D19">
        <v>7</v>
      </c>
      <c r="E19">
        <v>9</v>
      </c>
      <c r="H19">
        <v>7</v>
      </c>
    </row>
    <row r="20" spans="4:8" x14ac:dyDescent="0.3">
      <c r="D20">
        <v>8</v>
      </c>
      <c r="H20">
        <v>8</v>
      </c>
    </row>
    <row r="21" spans="4:8" x14ac:dyDescent="0.3">
      <c r="D21">
        <v>9</v>
      </c>
      <c r="H21">
        <v>9</v>
      </c>
    </row>
    <row r="22" spans="4:8" x14ac:dyDescent="0.3">
      <c r="D22">
        <v>10</v>
      </c>
    </row>
    <row r="23" spans="4:8" x14ac:dyDescent="0.3">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62D432D9-0D9C-4259-8693-65005686095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13</vt:i4>
      </vt:variant>
    </vt:vector>
  </HeadingPairs>
  <TitlesOfParts>
    <vt:vector size="21" baseType="lpstr">
      <vt:lpstr>Edges</vt:lpstr>
      <vt:lpstr>Sheet1</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Zach Aldrich</cp:lastModifiedBy>
  <cp:lastPrinted>2015-09-30T23:09:28Z</cp:lastPrinted>
  <dcterms:created xsi:type="dcterms:W3CDTF">2008-01-30T00:41:58Z</dcterms:created>
  <dcterms:modified xsi:type="dcterms:W3CDTF">2015-09-30T23:19:32Z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2fab5c60-e3b5-439b-8f29-2ddb446af29a</vt:lpwstr>
  </property>
  <property fmtid="{D5CDD505-2E9C-101B-9397-08002B2CF9AE}" pid="3" name="_AssemblyLocation">
    <vt:lpwstr>http://www.nodexlgraphgallery.org/NodeXLSetup/Smrf.NodeXL.ExcelTemplate.vsto|aa51c0f3-62b4-4782-83a8-a15dcdd17698</vt:lpwstr>
  </property>
  <property fmtid="{D5CDD505-2E9C-101B-9397-08002B2CF9AE}" pid="4" name="_AssemblyName">
    <vt:lpwstr>4E3C66D5-58D4-491E-A7D4-64AF99AF6E8B</vt:lpwstr>
  </property>
  <property fmtid="{D5CDD505-2E9C-101B-9397-08002B2CF9AE}" pid="5" name="Solution ID">
    <vt:lpwstr>{15727DE6-F92D-4E46-ACB4-0E2C58B31A18}</vt:lpwstr>
  </property>
</Properties>
</file>